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certanity Evaluation" state="visible" r:id="rId4"/>
    <sheet sheetId="2" name="2nd Page" state="visible" r:id="rId5"/>
    <sheet sheetId="3" name="3rd page" state="visible" r:id="rId6"/>
    <sheet sheetId="4" name="observation" state="visible" r:id="rId7"/>
    <sheet sheetId="5" name="certificate" state="visible" r:id="rId8"/>
    <sheet sheetId="6" name="functionality" state="visible" r:id="rId9"/>
  </sheets>
  <calcPr calcId="171027"/>
</workbook>
</file>

<file path=xl/sharedStrings.xml><?xml version="1.0" encoding="utf-8"?>
<sst xmlns="http://schemas.openxmlformats.org/spreadsheetml/2006/main" count="1529" uniqueCount="139">
  <si>
    <t>ESTIMATION OF UNCERTAINTY</t>
  </si>
  <si>
    <t>PLANT - 2</t>
  </si>
  <si>
    <t xml:space="preserve">1. Laboratory : </t>
  </si>
  <si>
    <t>SANSERA ENGINEERING LTD</t>
  </si>
  <si>
    <t>Date:</t>
  </si>
  <si>
    <t>06.11.2024</t>
  </si>
  <si>
    <t>2.Device under calibration: Setting Ring Gauge (Eqp.No.-10128150)</t>
  </si>
  <si>
    <t xml:space="preserve">              Measured range : Ø91.005mm</t>
  </si>
  <si>
    <t xml:space="preserve">                        Resolution: NA</t>
  </si>
  <si>
    <t xml:space="preserve">3.Standards / Equipment used for calibration   :    </t>
  </si>
  <si>
    <t>Sl.No.</t>
  </si>
  <si>
    <t>Standard / Equipment</t>
  </si>
  <si>
    <t>Range  mm</t>
  </si>
  <si>
    <t>Resolution mm</t>
  </si>
  <si>
    <t>Uncertainty µm</t>
  </si>
  <si>
    <t>Accuracy</t>
  </si>
  <si>
    <t>Traceability</t>
  </si>
  <si>
    <t>1</t>
  </si>
  <si>
    <t>{{master_1_name}}</t>
  </si>
  <si>
    <t>{{master_1_range}}</t>
  </si>
  <si>
    <t>{{master_1_resolution}}</t>
  </si>
  <si>
    <t>{{master_1_uncertainty}}</t>
  </si>
  <si>
    <t>{{master_1_accuracy}}</t>
  </si>
  <si>
    <t>{{master_1_traceability}}</t>
  </si>
  <si>
    <t xml:space="preserve">4. Temperature during calibration (Deg C) :   </t>
  </si>
  <si>
    <t>Beginning</t>
  </si>
  <si>
    <t>Middle</t>
  </si>
  <si>
    <t>End</t>
  </si>
  <si>
    <t>Mean</t>
  </si>
  <si>
    <t>RH%</t>
  </si>
  <si>
    <t>20.1</t>
  </si>
  <si>
    <t>20.0</t>
  </si>
  <si>
    <t>52.5</t>
  </si>
  <si>
    <t>5. Type A</t>
  </si>
  <si>
    <t>Number of Readings =</t>
  </si>
  <si>
    <t>Readings mm</t>
  </si>
  <si>
    <t>Mean            mm</t>
  </si>
  <si>
    <t xml:space="preserve">           in µm               </t>
  </si>
  <si>
    <t xml:space="preserve">           in µm</t>
  </si>
  <si>
    <t>Standard Deviation in µm</t>
  </si>
  <si>
    <t>6.0 Standard deviation of the mean :</t>
  </si>
  <si>
    <t xml:space="preserve">             n     =</t>
  </si>
  <si>
    <t>µm</t>
  </si>
  <si>
    <t>7.0 Degree of Freedom :</t>
  </si>
  <si>
    <t>Study Conducted by: Balachandar M</t>
  </si>
  <si>
    <t xml:space="preserve">   Witnessed By:</t>
  </si>
  <si>
    <t>8.0 Type B Evaluation</t>
  </si>
  <si>
    <t>Source of Uncertainity</t>
  </si>
  <si>
    <t>Sensitivity Co-Efficient</t>
  </si>
  <si>
    <t>U1 =</t>
  </si>
  <si>
    <t>Uncertanity mentioned in the calibration of CMM</t>
  </si>
  <si>
    <t>U2 =</t>
  </si>
  <si>
    <t>Uncertainty of the maximum error in the calibration report of CMM/Manufacturer's declaration</t>
  </si>
  <si>
    <t>U3 =</t>
  </si>
  <si>
    <t>Resolution of Master equipment Used</t>
  </si>
  <si>
    <t>U4 =</t>
  </si>
  <si>
    <t>°C</t>
  </si>
  <si>
    <t xml:space="preserve">Uncertanity mentioned in the calibration Report of Thermometer
(0.100*0.3*(11.5+11.5)/2=0.09µm/°C</t>
  </si>
  <si>
    <t>U4</t>
  </si>
  <si>
    <t>U5 =</t>
  </si>
  <si>
    <t xml:space="preserve">Uncertanity due to error of the thermometer
(0.100*0.2*(11.5+11.5)/2=0.37µm/°C</t>
  </si>
  <si>
    <t>U5</t>
  </si>
  <si>
    <t>Accuracy Formula</t>
  </si>
  <si>
    <t>U6 =</t>
  </si>
  <si>
    <t>Uncertainty due to the difference in temperature of calibration &amp; 20 deg centigrate.</t>
  </si>
  <si>
    <t>UL</t>
  </si>
  <si>
    <t>U2-</t>
  </si>
  <si>
    <t>±(1.7+L/300)</t>
  </si>
  <si>
    <t>L= mm</t>
  </si>
  <si>
    <t>Ci = alphaavg* length = (11.5+11.5)/2 *0.100 = 1.15</t>
  </si>
  <si>
    <t>U7 =</t>
  </si>
  <si>
    <t>Uncertainty due to Temperature difference between test and Ref items</t>
  </si>
  <si>
    <t>U8 =</t>
  </si>
  <si>
    <t>µ/°C/mtr</t>
  </si>
  <si>
    <t>Uncertainty due to Uncertanity of thermal coefficient of thermal expansion of test and ref. ( Assumed to be 10% root means square of Alpha)</t>
  </si>
  <si>
    <t>Ci = Environmental Control* Length = 2.0°C * 0.100m = 0.2m°C</t>
  </si>
  <si>
    <t>U9 =</t>
  </si>
  <si>
    <t>Type A</t>
  </si>
  <si>
    <t>Study Conducted by: Balachandar M                                                         Witnessed By :</t>
  </si>
  <si>
    <t>UNCERTAINTY BUDGET :</t>
  </si>
  <si>
    <t xml:space="preserve">Source of Uncertanity X i </t>
  </si>
  <si>
    <t>Estimate  x i</t>
  </si>
  <si>
    <t xml:space="preserve">Limits  ±     xi           (µm) </t>
  </si>
  <si>
    <t>Probability Disturbution Type A or TypeB</t>
  </si>
  <si>
    <t>Standard uncertainity u(xi)</t>
  </si>
  <si>
    <t>Sensitivity                    Co-efficient    ci</t>
  </si>
  <si>
    <t>Uncertainity Contribution ui (y) in µm</t>
  </si>
  <si>
    <t>Degree of freedom  V i</t>
  </si>
  <si>
    <t>U1</t>
  </si>
  <si>
    <t>∞</t>
  </si>
  <si>
    <t>U2</t>
  </si>
  <si>
    <t>Rectangular-B</t>
  </si>
  <si>
    <t>U3</t>
  </si>
  <si>
    <t>µm/°C</t>
  </si>
  <si>
    <t>U6</t>
  </si>
  <si>
    <t>U7</t>
  </si>
  <si>
    <t>U8</t>
  </si>
  <si>
    <t>U9</t>
  </si>
  <si>
    <t>Type-A</t>
  </si>
  <si>
    <t>Combined Standard Uncertainty =</t>
  </si>
  <si>
    <t>mm</t>
  </si>
  <si>
    <t>Effective Degree of Freedom =</t>
  </si>
  <si>
    <t xml:space="preserve">             (Calculated Value)</t>
  </si>
  <si>
    <t>Coverage Factor =</t>
  </si>
  <si>
    <t>Expanded Uncertainty =</t>
  </si>
  <si>
    <t/>
  </si>
  <si>
    <t>Witnessed By:</t>
  </si>
  <si>
    <t>OBSERVED READINGS (All values are in mm)</t>
  </si>
  <si>
    <t>Description</t>
  </si>
  <si>
    <t>A-A</t>
  </si>
  <si>
    <t>B-B</t>
  </si>
  <si>
    <t>C-C</t>
  </si>
  <si>
    <t>Average</t>
  </si>
  <si>
    <t>Section - 1</t>
  </si>
  <si>
    <t>1.5398</t>
  </si>
  <si>
    <t>Section - 2</t>
  </si>
  <si>
    <t>Section - 3</t>
  </si>
  <si>
    <t>1.5399</t>
  </si>
  <si>
    <t>Section - 4</t>
  </si>
  <si>
    <t>Average Reading</t>
  </si>
  <si>
    <t>OBSERVED READINGS (All values are in Inches)</t>
  </si>
  <si>
    <t>Type - A</t>
  </si>
  <si>
    <t>Trail-1</t>
  </si>
  <si>
    <t>Trail-2</t>
  </si>
  <si>
    <t>Trail-3</t>
  </si>
  <si>
    <t>Trail-4</t>
  </si>
  <si>
    <t>Trail-5</t>
  </si>
  <si>
    <t>Standard deviation</t>
  </si>
  <si>
    <t>CALIBRATION RESULT (Observed Readings are in mm)</t>
  </si>
  <si>
    <t xml:space="preserve"> Diameter</t>
  </si>
  <si>
    <t>SEC-1</t>
  </si>
  <si>
    <t>SEC-2</t>
  </si>
  <si>
    <t>SEC-3</t>
  </si>
  <si>
    <t>SEC-4</t>
  </si>
  <si>
    <t>CALIBRATION RESULT (Observed Readings are in inches)</t>
  </si>
  <si>
    <t>Diameter</t>
  </si>
  <si>
    <t xml:space="preserve">EXPANDED UNCERTAINTY : </t>
  </si>
  <si>
    <t>±1.8µm  ( The uncertainty of measurement is expressed at 95.45% Confidence with coverage factor K-2)</t>
  </si>
  <si>
    <t>{{Range}}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</si>
</sst>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FormatPr defaultRowHeight="15" outlineLevelRow="0" outlineLevelCol="0" x14ac:dyDescent="55"/>
  <cols>
    <col min="1" max="15" width="12" customWidth="1"/>
  </cols>
  <sheetData>
    <row r="1" spans="1:10" x14ac:dyDescent="0.25">
      <c r="A1" t="s">
        <v>0</v>
      </c>
      <c r="B1"/>
      <c r="C1"/>
      <c r="D1"/>
      <c r="E1"/>
      <c r="F1"/>
      <c r="G1"/>
      <c r="J1"/>
    </row>
    <row r="2" spans="1:10" x14ac:dyDescent="0.25">
      <c r="A2"/>
      <c r="B2"/>
      <c r="C2"/>
      <c r="D2"/>
      <c r="E2"/>
      <c r="F2"/>
      <c r="G2"/>
      <c r="I2" t="s">
        <v>1</v>
      </c>
      <c r="J2"/>
    </row>
    <row r="4" spans="1:9" x14ac:dyDescent="0.25">
      <c r="A4" t="s">
        <v>2</v>
      </c>
      <c r="B4"/>
      <c r="C4" t="s">
        <v>3</v>
      </c>
      <c r="D4"/>
      <c r="E4"/>
      <c r="F4"/>
      <c r="G4" t="s">
        <v>4</v>
      </c>
      <c r="I4" t="s">
        <v>5</v>
      </c>
    </row>
    <row r="6" spans="1:1" x14ac:dyDescent="0.25">
      <c r="A6" t="s">
        <v>6</v>
      </c>
    </row>
    <row r="7" spans="1:15" x14ac:dyDescent="0.25">
      <c r="A7" t="s">
        <v>7</v>
      </c>
      <c r="N7">
        <v>0.3</v>
      </c>
      <c r="O7" t="str">
        <f>=100/750</f>
        <v>=100/750</v>
      </c>
    </row>
    <row r="8" spans="1:14" x14ac:dyDescent="0.25">
      <c r="A8" t="s">
        <v>8</v>
      </c>
      <c r="N8" t="str">
        <f>=M7+N7</f>
        <v>=M7+N7</v>
      </c>
    </row>
    <row r="10" spans="1:1" x14ac:dyDescent="0.25">
      <c r="A10" t="s">
        <v>9</v>
      </c>
    </row>
    <row r="12" spans="1:10" x14ac:dyDescent="0.25">
      <c r="A12" t="s">
        <v>10</v>
      </c>
      <c r="B12" t="s">
        <v>11</v>
      </c>
      <c r="C12" t="s">
        <v>12</v>
      </c>
      <c r="D12"/>
      <c r="E12" t="s">
        <v>13</v>
      </c>
      <c r="F12"/>
      <c r="G12" t="s">
        <v>14</v>
      </c>
      <c r="H12" t="s">
        <v>15</v>
      </c>
      <c r="I12" t="s">
        <v>16</v>
      </c>
      <c r="J12"/>
    </row>
    <row r="13" spans="1:15" x14ac:dyDescent="0.25">
      <c r="A13" t="s">
        <v>17</v>
      </c>
      <c r="B13" t="s">
        <v>18</v>
      </c>
      <c r="C13" t="s">
        <v>19</v>
      </c>
      <c r="D13"/>
      <c r="E13" t="s">
        <v>20</v>
      </c>
      <c r="F13"/>
      <c r="G13" t="s">
        <v>21</v>
      </c>
      <c r="H13" t="s">
        <v>22</v>
      </c>
      <c r="I13" t="s">
        <v>23</v>
      </c>
      <c r="J13"/>
      <c r="O13" t="str">
        <f>=1.7+(75/500)</f>
        <v>=1.7+(75/500)</v>
      </c>
    </row>
    <row r="14" spans="1:10" x14ac:dyDescent="0.25">
      <c r="A14"/>
      <c r="B14"/>
      <c r="C14"/>
      <c r="D14"/>
      <c r="E14"/>
      <c r="F14"/>
      <c r="G14"/>
      <c r="I14"/>
      <c r="J14"/>
    </row>
    <row r="16" spans="1:15" x14ac:dyDescent="0.25">
      <c r="A16" t="s">
        <v>24</v>
      </c>
      <c r="H16" t="s">
        <v>22</v>
      </c>
      <c r="O16">
        <v>1.7</v>
      </c>
    </row>
    <row r="17" spans="1:15" x14ac:dyDescent="0.25">
      <c r="O17" t="str">
        <f>=75/400</f>
        <v>=75/400</v>
      </c>
    </row>
    <row r="18" spans="1:15" x14ac:dyDescent="0.25">
      <c r="B18" t="s">
        <v>25</v>
      </c>
      <c r="C18" t="s">
        <v>26</v>
      </c>
      <c r="D18"/>
      <c r="E18" t="s">
        <v>27</v>
      </c>
      <c r="F18"/>
      <c r="G18" t="s">
        <v>28</v>
      </c>
      <c r="H18" t="s">
        <v>22</v>
      </c>
      <c r="I18" t="s">
        <v>29</v>
      </c>
      <c r="O18" t="str">
        <f>=N16+N17</f>
        <v>=N16+N17</v>
      </c>
    </row>
    <row r="19" spans="1:9" x14ac:dyDescent="0.25">
      <c r="B19" t="s">
        <v>30</v>
      </c>
      <c r="C19" t="s">
        <v>31</v>
      </c>
      <c r="D19"/>
      <c r="E19" t="s">
        <v>30</v>
      </c>
      <c r="F19"/>
      <c r="G19">
        <v>20.07</v>
      </c>
      <c r="H19" t="s">
        <v>22</v>
      </c>
      <c r="I19" t="s">
        <v>32</v>
      </c>
    </row>
    <row r="21" spans="1:8" x14ac:dyDescent="0.25">
      <c r="A21" t="s">
        <v>33</v>
      </c>
      <c r="B21"/>
      <c r="H21" t="s">
        <v>22</v>
      </c>
    </row>
    <row r="22" spans="1:8" x14ac:dyDescent="0.25">
      <c r="B22" t="s">
        <v>34</v>
      </c>
      <c r="C22"/>
      <c r="D22"/>
      <c r="E22">
        <v>10</v>
      </c>
      <c r="H22" t="s">
        <v>22</v>
      </c>
    </row>
    <row r="23" spans="3:4" x14ac:dyDescent="0.25">
      <c r="D23"/>
    </row>
    <row r="24" spans="1:8" x14ac:dyDescent="0.25">
      <c r="B24" t="s">
        <v>35</v>
      </c>
      <c r="C24" t="s">
        <v>36</v>
      </c>
      <c r="D24" t="s">
        <v>37</v>
      </c>
      <c r="E24"/>
      <c r="F24" t="s">
        <v>38</v>
      </c>
      <c r="G24" t="s">
        <v>39</v>
      </c>
      <c r="H24" t="s">
        <v>22</v>
      </c>
    </row>
    <row r="25" spans="1:8" x14ac:dyDescent="0.25">
      <c r="B25">
        <v>91.0124</v>
      </c>
      <c r="C25" t="str">
        <f>=AVERAGE(B25:B34)</f>
        <v>=AVERAGE(B25:B34)</v>
      </c>
      <c r="D25" t="str">
        <f>=(B25- C25)*1000</f>
        <v>=(B25- C25)*1000</v>
      </c>
      <c r="E25"/>
      <c r="F25" t="str">
        <f>=D25^2</f>
        <v>=D25^2</v>
      </c>
      <c r="H25" t="s">
        <v>22</v>
      </c>
    </row>
    <row r="26" spans="1:8" x14ac:dyDescent="0.25">
      <c r="B26">
        <v>91.0124</v>
      </c>
      <c r="C26"/>
      <c r="D26" t="str">
        <f>=(B26- C25)*1000</f>
        <v>=(B26- C25)*1000</v>
      </c>
      <c r="E26"/>
      <c r="F26" t="str">
        <f>=D26*D26</f>
        <v>=D26*D26</v>
      </c>
      <c r="H26" t="s">
        <v>22</v>
      </c>
    </row>
    <row r="27" spans="1:8" x14ac:dyDescent="0.25">
      <c r="B27">
        <v>91.0126</v>
      </c>
      <c r="C27"/>
      <c r="D27" t="str">
        <f>=(B27- C25)*1000</f>
        <v>=(B27- C25)*1000</v>
      </c>
      <c r="E27"/>
      <c r="F27" t="str">
        <f>=D27*D27</f>
        <v>=D27*D27</v>
      </c>
      <c r="H27" t="s">
        <v>22</v>
      </c>
    </row>
    <row r="28" spans="1:8" x14ac:dyDescent="0.25">
      <c r="B28">
        <v>91.0126</v>
      </c>
      <c r="C28"/>
      <c r="D28" t="str">
        <f>=(B28- C25)*1000</f>
        <v>=(B28- C25)*1000</v>
      </c>
      <c r="E28"/>
      <c r="F28" t="str">
        <f>=D28*D28</f>
        <v>=D28*D28</v>
      </c>
      <c r="G28" t="str">
        <f>=SQRT(F35/(E22-1))</f>
        <v>=SQRT(F35/(E22-1))</v>
      </c>
      <c r="H28" t="s">
        <v>22</v>
      </c>
    </row>
    <row r="29" spans="1:8" x14ac:dyDescent="0.25">
      <c r="B29">
        <v>91.0126</v>
      </c>
      <c r="C29"/>
      <c r="D29" t="str">
        <f>=(B29- C25)*1000</f>
        <v>=(B29- C25)*1000</v>
      </c>
      <c r="E29"/>
      <c r="F29" t="str">
        <f>=D29*D29</f>
        <v>=D29*D29</v>
      </c>
      <c r="G29" t="str">
        <f>=MAX(observation!F19)</f>
        <v>=MAX(observation!F19)</v>
      </c>
      <c r="H29" t="s">
        <v>22</v>
      </c>
    </row>
    <row r="30" spans="1:8" x14ac:dyDescent="0.25">
      <c r="B30">
        <v>91.0128</v>
      </c>
      <c r="C30"/>
      <c r="D30" t="str">
        <f>=(B30- C25)*1000</f>
        <v>=(B30- C25)*1000</v>
      </c>
      <c r="E30"/>
      <c r="F30" t="str">
        <f>=D30*D30</f>
        <v>=D30*D30</v>
      </c>
      <c r="H30" t="s">
        <v>22</v>
      </c>
    </row>
    <row r="31" spans="1:8" x14ac:dyDescent="0.25">
      <c r="B31">
        <v>91.0127</v>
      </c>
      <c r="C31"/>
      <c r="D31" t="str">
        <f>=(B31- C25)*1000</f>
        <v>=(B31- C25)*1000</v>
      </c>
      <c r="E31"/>
      <c r="F31" t="str">
        <f>=D31*D31</f>
        <v>=D31*D31</v>
      </c>
      <c r="H31" t="s">
        <v>22</v>
      </c>
    </row>
    <row r="32" spans="1:8" x14ac:dyDescent="0.25">
      <c r="B32">
        <v>91.0128</v>
      </c>
      <c r="C32"/>
      <c r="D32" t="str">
        <f>=(B32- C25)*1000</f>
        <v>=(B32- C25)*1000</v>
      </c>
      <c r="E32"/>
      <c r="F32" t="str">
        <f>=D32*D32</f>
        <v>=D32*D32</v>
      </c>
      <c r="H32" t="s">
        <v>22</v>
      </c>
    </row>
    <row r="33" spans="1:8" x14ac:dyDescent="0.25">
      <c r="B33">
        <v>91.0128</v>
      </c>
      <c r="C33"/>
      <c r="D33" t="str">
        <f>=(B33- C25)*1000</f>
        <v>=(B33- C25)*1000</v>
      </c>
      <c r="E33"/>
      <c r="F33" t="str">
        <f>=D33*D33</f>
        <v>=D33*D33</v>
      </c>
      <c r="H33" t="s">
        <v>22</v>
      </c>
    </row>
    <row r="34" spans="1:8" x14ac:dyDescent="0.25">
      <c r="B34">
        <v>91.012</v>
      </c>
      <c r="C34"/>
      <c r="D34" t="str">
        <f>=(B34- C25)*1000</f>
        <v>=(B34- C25)*1000</v>
      </c>
      <c r="E34"/>
      <c r="F34" t="str">
        <f>=D34*D34</f>
        <v>=D34*D34</v>
      </c>
      <c r="H34" t="s">
        <v>22</v>
      </c>
    </row>
    <row r="35" spans="1:6" x14ac:dyDescent="0.25">
      <c r="F35" t="str">
        <f>=SUM(F25:F34)</f>
        <v>=SUM(F25:F34)</v>
      </c>
    </row>
    <row r="37" spans="1:9" x14ac:dyDescent="0.25">
      <c r="A37" t="s">
        <v>40</v>
      </c>
      <c r="E37" t="s">
        <v>41</v>
      </c>
      <c r="F37"/>
      <c r="G37" t="str">
        <f>=(G29/SQRT(E22))</f>
        <v>=(G29/SQRT(E22))</v>
      </c>
      <c r="H37" t="s">
        <v>22</v>
      </c>
      <c r="I37" t="s">
        <v>42</v>
      </c>
    </row>
    <row r="39" spans="1:8" x14ac:dyDescent="0.25">
      <c r="A39" t="s">
        <v>43</v>
      </c>
      <c r="B39"/>
      <c r="C39"/>
      <c r="D39"/>
      <c r="E39" t="str">
        <f>=E22-1</f>
        <v>=E22-1</v>
      </c>
      <c r="F39"/>
      <c r="H39" t="s">
        <v>22</v>
      </c>
    </row>
    <row r="42" spans="1:10" x14ac:dyDescent="0.25">
      <c r="A42" t="s">
        <v>44</v>
      </c>
      <c r="G42" t="s">
        <v>45</v>
      </c>
      <c r="H42"/>
      <c r="I42"/>
      <c r="J42"/>
    </row>
  </sheetData>
  <mergeCells count="37">
    <mergeCell ref="A1:G2"/>
    <mergeCell ref="I1:J1"/>
    <mergeCell ref="I2:J2"/>
    <mergeCell ref="A4:B4"/>
    <mergeCell ref="C4:F4"/>
    <mergeCell ref="C12:D12"/>
    <mergeCell ref="E12:F12"/>
    <mergeCell ref="I12:J12"/>
    <mergeCell ref="C13:D14"/>
    <mergeCell ref="E13:F14"/>
    <mergeCell ref="I13:J14"/>
    <mergeCell ref="A13:A14"/>
    <mergeCell ref="B13:B14"/>
    <mergeCell ref="G13:G14"/>
    <mergeCell ref="C18:D18"/>
    <mergeCell ref="E18:F18"/>
    <mergeCell ref="C19:D19"/>
    <mergeCell ref="E19:F19"/>
    <mergeCell ref="A21:B21"/>
    <mergeCell ref="B22:D22"/>
    <mergeCell ref="C23:D23"/>
    <mergeCell ref="D24:E24"/>
    <mergeCell ref="D25:E25"/>
    <mergeCell ref="C25:C34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E37:F37"/>
    <mergeCell ref="A39:D39"/>
    <mergeCell ref="E39:F39"/>
    <mergeCell ref="G42:J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FormatPr defaultRowHeight="15" outlineLevelRow="0" outlineLevelCol="0" x14ac:dyDescent="55"/>
  <cols>
    <col min="1" max="11" width="12" customWidth="1"/>
  </cols>
  <sheetData>
    <row r="1" spans="1:4" x14ac:dyDescent="0.25">
      <c r="A1" t="s">
        <v>0</v>
      </c>
      <c r="B1"/>
      <c r="C1"/>
      <c r="D1"/>
    </row>
    <row r="2" spans="1:5" x14ac:dyDescent="0.25">
      <c r="A2"/>
      <c r="B2"/>
      <c r="C2"/>
      <c r="D2"/>
      <c r="E2" t="s">
        <v>1</v>
      </c>
    </row>
    <row r="3" spans="1:4" x14ac:dyDescent="0.25">
      <c r="A3" t="s">
        <v>46</v>
      </c>
      <c r="B3"/>
      <c r="C3"/>
      <c r="D3"/>
    </row>
    <row r="4" spans="1:5" x14ac:dyDescent="0.25">
      <c r="A4" t="s">
        <v>47</v>
      </c>
      <c r="B4"/>
      <c r="C4"/>
      <c r="D4"/>
      <c r="E4" t="s">
        <v>48</v>
      </c>
    </row>
    <row r="5" spans="1:10" x14ac:dyDescent="0.25">
      <c r="A5" t="s">
        <v>49</v>
      </c>
      <c r="B5" t="str">
        <f>=+'Uncertanity Evaluation'!G13</f>
        <v>=+'Uncertanity Evaluation'!G13</v>
      </c>
      <c r="C5" t="s">
        <v>42</v>
      </c>
      <c r="D5" t="s">
        <v>50</v>
      </c>
      <c r="E5">
        <v>1</v>
      </c>
      <c r="I5">
        <v>0.3</v>
      </c>
      <c r="J5" t="str">
        <f>=100/750</f>
        <v>=100/750</v>
      </c>
    </row>
    <row r="6" spans="1:9" x14ac:dyDescent="0.25">
      <c r="A6"/>
      <c r="B6"/>
      <c r="C6"/>
      <c r="E6"/>
      <c r="I6" t="str">
        <f>=I5+J5</f>
        <v>=I5+J5</v>
      </c>
    </row>
    <row r="7" spans="1:5" x14ac:dyDescent="0.25">
      <c r="A7" t="s">
        <v>51</v>
      </c>
      <c r="B7">
        <v>1.5</v>
      </c>
      <c r="C7" t="s">
        <v>42</v>
      </c>
      <c r="D7" t="s">
        <v>52</v>
      </c>
      <c r="E7">
        <v>1</v>
      </c>
    </row>
    <row r="8" spans="1:5" x14ac:dyDescent="0.25">
      <c r="A8"/>
      <c r="B8"/>
      <c r="C8"/>
      <c r="E8"/>
    </row>
    <row r="9" spans="1:5" x14ac:dyDescent="0.25">
      <c r="A9" t="s">
        <v>53</v>
      </c>
      <c r="B9">
        <v>0.05</v>
      </c>
      <c r="C9" t="s">
        <v>42</v>
      </c>
      <c r="D9" t="s">
        <v>54</v>
      </c>
      <c r="E9">
        <v>1</v>
      </c>
    </row>
    <row r="10" spans="1:5" x14ac:dyDescent="0.25">
      <c r="A10"/>
      <c r="B10"/>
      <c r="C10"/>
      <c r="E10"/>
    </row>
    <row r="11" spans="1:8" x14ac:dyDescent="0.25">
      <c r="A11" t="s">
        <v>55</v>
      </c>
      <c r="B11">
        <v>0.3</v>
      </c>
      <c r="C11" t="s">
        <v>56</v>
      </c>
      <c r="D11" t="s">
        <v>57</v>
      </c>
      <c r="E11">
        <v>0.345</v>
      </c>
      <c r="G11" t="s">
        <v>58</v>
      </c>
      <c r="H11" t="str">
        <f>=(0.1*0.3*(11.5+11.5)/2)</f>
        <v>=(0.1*0.3*(11.5+11.5)/2)</v>
      </c>
    </row>
    <row r="12" spans="1:5" x14ac:dyDescent="0.25">
      <c r="A12"/>
      <c r="B12"/>
      <c r="C12"/>
      <c r="D12"/>
      <c r="E12"/>
    </row>
    <row r="13" spans="1:8" x14ac:dyDescent="0.25">
      <c r="A13" t="s">
        <v>59</v>
      </c>
      <c r="B13">
        <v>0.21</v>
      </c>
      <c r="C13" t="s">
        <v>56</v>
      </c>
      <c r="D13" t="s">
        <v>60</v>
      </c>
      <c r="E13">
        <v>0.24</v>
      </c>
      <c r="G13" t="s">
        <v>61</v>
      </c>
      <c r="H13" t="str">
        <f>=((0.1*0.21*(11.5+11.5))/2)</f>
        <v>=((0.1*0.21*(11.5+11.5))/2)</v>
      </c>
    </row>
    <row r="14" spans="1:10" x14ac:dyDescent="0.25">
      <c r="A14"/>
      <c r="B14"/>
      <c r="C14"/>
      <c r="D14"/>
      <c r="E14"/>
      <c r="J14" t="s">
        <v>62</v>
      </c>
    </row>
    <row r="15" spans="1:11" x14ac:dyDescent="0.25">
      <c r="A15" t="s">
        <v>63</v>
      </c>
      <c r="B15">
        <v>0.3</v>
      </c>
      <c r="C15" t="s">
        <v>56</v>
      </c>
      <c r="D15" t="s">
        <v>64</v>
      </c>
      <c r="E15">
        <v>1.15</v>
      </c>
      <c r="G15" t="s">
        <v>65</v>
      </c>
      <c r="H15" t="str">
        <f>=(11.5+11.5)/2*0.1</f>
        <v>=(11.5+11.5)/2*0.1</v>
      </c>
      <c r="I15" t="s">
        <v>66</v>
      </c>
      <c r="J15" t="s">
        <v>67</v>
      </c>
      <c r="K15" t="s">
        <v>68</v>
      </c>
    </row>
    <row r="16" spans="1:5" x14ac:dyDescent="0.25">
      <c r="A16"/>
      <c r="B16"/>
      <c r="C16"/>
      <c r="D16" t="s">
        <v>69</v>
      </c>
      <c r="E16"/>
    </row>
    <row r="17" spans="1:11" x14ac:dyDescent="0.25">
      <c r="A17" t="s">
        <v>70</v>
      </c>
      <c r="B17">
        <v>0.5</v>
      </c>
      <c r="C17" t="s">
        <v>56</v>
      </c>
      <c r="D17" t="s">
        <v>71</v>
      </c>
      <c r="E17">
        <v>1.15</v>
      </c>
      <c r="J17">
        <v>1.7</v>
      </c>
      <c r="K17" t="str">
        <f>=100/300</f>
        <v>=100/300</v>
      </c>
    </row>
    <row r="18" spans="1:11" x14ac:dyDescent="0.25">
      <c r="A18"/>
      <c r="B18"/>
      <c r="C18"/>
      <c r="D18" t="s">
        <v>69</v>
      </c>
      <c r="E18"/>
      <c r="K18" t="str">
        <f>=J17+K17</f>
        <v>=J17+K17</v>
      </c>
    </row>
    <row r="19" spans="1:8" x14ac:dyDescent="0.25">
      <c r="A19" t="s">
        <v>72</v>
      </c>
      <c r="B19">
        <v>1.62</v>
      </c>
      <c r="C19" t="s">
        <v>73</v>
      </c>
      <c r="D19" t="s">
        <v>74</v>
      </c>
      <c r="E19">
        <v>0.2</v>
      </c>
      <c r="H19" t="str">
        <f>=2*0.1</f>
        <v>=2*0.1</v>
      </c>
    </row>
    <row r="20" spans="1:5" x14ac:dyDescent="0.25">
      <c r="A20"/>
      <c r="B20"/>
      <c r="C20"/>
      <c r="D20" t="s">
        <v>75</v>
      </c>
      <c r="E20"/>
    </row>
    <row r="21" spans="1:5" x14ac:dyDescent="0.25">
      <c r="A21" t="s">
        <v>76</v>
      </c>
      <c r="B21" t="str">
        <f>=+'Uncertanity Evaluation'!G29</f>
        <v>=+'Uncertanity Evaluation'!G29</v>
      </c>
      <c r="C21" t="s">
        <v>42</v>
      </c>
      <c r="D21" t="s">
        <v>77</v>
      </c>
      <c r="E21">
        <v>1</v>
      </c>
    </row>
    <row r="22" spans="1:5" x14ac:dyDescent="0.25">
      <c r="A22"/>
      <c r="B22"/>
      <c r="C22"/>
      <c r="E22"/>
    </row>
    <row r="43" spans="1:5" x14ac:dyDescent="0.25">
      <c r="A43" t="s">
        <v>78</v>
      </c>
      <c r="B43"/>
      <c r="C43"/>
      <c r="D43"/>
      <c r="E43"/>
    </row>
  </sheetData>
  <mergeCells count="42">
    <mergeCell ref="A1:D2"/>
    <mergeCell ref="A3:D3"/>
    <mergeCell ref="A4:D4"/>
    <mergeCell ref="A5:A6"/>
    <mergeCell ref="B5:B6"/>
    <mergeCell ref="C5:C6"/>
    <mergeCell ref="E5:E6"/>
    <mergeCell ref="A7:A8"/>
    <mergeCell ref="B7:B8"/>
    <mergeCell ref="C7:C8"/>
    <mergeCell ref="E7:E8"/>
    <mergeCell ref="A9:A10"/>
    <mergeCell ref="B9:B10"/>
    <mergeCell ref="C9:C10"/>
    <mergeCell ref="E9:E10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15:A16"/>
    <mergeCell ref="B15:B16"/>
    <mergeCell ref="C15:C16"/>
    <mergeCell ref="E15:E16"/>
    <mergeCell ref="A17:A18"/>
    <mergeCell ref="B17:B18"/>
    <mergeCell ref="C17:C18"/>
    <mergeCell ref="E17:E18"/>
    <mergeCell ref="A19:A20"/>
    <mergeCell ref="B19:B20"/>
    <mergeCell ref="C19:C20"/>
    <mergeCell ref="E19:E20"/>
    <mergeCell ref="A21:A22"/>
    <mergeCell ref="B21:B22"/>
    <mergeCell ref="C21:C22"/>
    <mergeCell ref="E21:E22"/>
    <mergeCell ref="A43:E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FormatPr defaultRowHeight="15" outlineLevelRow="0" outlineLevelCol="0" x14ac:dyDescent="55"/>
  <cols>
    <col min="1" max="13" width="12" customWidth="1"/>
  </cols>
  <sheetData>
    <row r="1" spans="1:12" x14ac:dyDescent="0.25">
      <c r="A1" t="s">
        <v>0</v>
      </c>
      <c r="B1"/>
      <c r="C1"/>
      <c r="D1"/>
      <c r="E1"/>
      <c r="F1"/>
      <c r="G1"/>
      <c r="H1"/>
      <c r="I1"/>
      <c r="J1"/>
      <c r="K1"/>
      <c r="L1"/>
    </row>
    <row r="2" spans="1:13" x14ac:dyDescent="0.25">
      <c r="A2"/>
      <c r="B2"/>
      <c r="C2"/>
      <c r="D2"/>
      <c r="E2"/>
      <c r="F2"/>
      <c r="G2"/>
      <c r="H2"/>
      <c r="I2"/>
      <c r="J2"/>
      <c r="K2"/>
      <c r="L2"/>
      <c r="M2" t="s">
        <v>1</v>
      </c>
    </row>
    <row r="3" spans="1:13" x14ac:dyDescent="0.25">
      <c r="A3" t="s">
        <v>79</v>
      </c>
      <c r="B3"/>
      <c r="C3"/>
      <c r="D3"/>
      <c r="E3"/>
      <c r="F3"/>
      <c r="G3"/>
      <c r="H3"/>
      <c r="I3"/>
      <c r="J3"/>
      <c r="K3"/>
      <c r="L3"/>
      <c r="M3"/>
    </row>
    <row r="4" spans="1:13" x14ac:dyDescent="0.25">
      <c r="A4" t="s">
        <v>80</v>
      </c>
      <c r="B4"/>
      <c r="C4" t="s">
        <v>81</v>
      </c>
      <c r="D4" t="s">
        <v>82</v>
      </c>
      <c r="E4" t="s">
        <v>83</v>
      </c>
      <c r="G4" t="s">
        <v>84</v>
      </c>
      <c r="H4"/>
      <c r="I4" t="s">
        <v>85</v>
      </c>
      <c r="J4"/>
      <c r="K4" t="s">
        <v>86</v>
      </c>
      <c r="M4" t="s">
        <v>87</v>
      </c>
    </row>
    <row r="5" spans="1:13" x14ac:dyDescent="0.25">
      <c r="A5" t="s">
        <v>88</v>
      </c>
      <c r="C5" t="str">
        <f>='2nd Page'!B5</f>
        <v>='2nd Page'!B5</v>
      </c>
      <c r="D5" t="str">
        <f>=C5/2</f>
        <v>=C5/2</v>
      </c>
      <c r="E5" t="str">
        <f>=IF(F5=2,"Normal-B",IF(F5=3,"Rectangular-B",  ""))</f>
        <v>=IF(F5=2,"Normal-B",IF(F5=3,"Rectangular-B",  ""))</v>
      </c>
      <c r="F5">
        <v>2</v>
      </c>
      <c r="G5" t="str">
        <f>=IF(F5=2, C5/2,IF(F5=3,C5/SQRT(3),   ))</f>
        <v>=IF(F5=2, C5/2,IF(F5=3,C5/SQRT(3),   ))</v>
      </c>
      <c r="H5" t="str">
        <f>=+'2nd Page'!C5</f>
        <v>=+'2nd Page'!C5</v>
      </c>
      <c r="I5" t="str">
        <f>='2nd Page'!E5</f>
        <v>='2nd Page'!E5</v>
      </c>
      <c r="J5" t="s">
        <v>42</v>
      </c>
      <c r="K5" t="str">
        <f>=G5*I5</f>
        <v>=G5*I5</v>
      </c>
      <c r="L5" t="str">
        <f>=K5*K5</f>
        <v>=K5*K5</v>
      </c>
      <c r="M5" t="s">
        <v>89</v>
      </c>
    </row>
    <row r="6" spans="1:13" x14ac:dyDescent="0.25">
      <c r="A6" t="s">
        <v>90</v>
      </c>
      <c r="C6" t="str">
        <f>='2nd Page'!B7</f>
        <v>='2nd Page'!B7</v>
      </c>
      <c r="D6" t="str">
        <f>=C6/2</f>
        <v>=C6/2</v>
      </c>
      <c r="E6" t="s">
        <v>91</v>
      </c>
      <c r="F6">
        <v>2</v>
      </c>
      <c r="G6" t="str">
        <f>=IF(F6=2, D6/2,IF(F6=3,C6/SQRT(3),   ))</f>
        <v>=IF(F6=2, D6/2,IF(F6=3,C6/SQRT(3),   ))</v>
      </c>
      <c r="H6" t="str">
        <f>=+'2nd Page'!C7</f>
        <v>=+'2nd Page'!C7</v>
      </c>
      <c r="I6" t="str">
        <f>='2nd Page'!E7</f>
        <v>='2nd Page'!E7</v>
      </c>
      <c r="J6" t="s">
        <v>42</v>
      </c>
      <c r="K6" t="str">
        <f>=G6*I6</f>
        <v>=G6*I6</v>
      </c>
      <c r="L6" t="str">
        <f>=K6*K6</f>
        <v>=K6*K6</v>
      </c>
      <c r="M6" t="s">
        <v>89</v>
      </c>
    </row>
    <row r="7" spans="1:13" x14ac:dyDescent="0.25">
      <c r="A7" t="s">
        <v>92</v>
      </c>
      <c r="C7" t="str">
        <f>='2nd Page'!B9</f>
        <v>='2nd Page'!B9</v>
      </c>
      <c r="D7" t="str">
        <f>=C7/2</f>
        <v>=C7/2</v>
      </c>
      <c r="E7" t="str">
        <f>=IF(F7=2,"Normal-B",IF(F7=3,"Rectangular-B",  ""))</f>
        <v>=IF(F7=2,"Normal-B",IF(F7=3,"Rectangular-B",  ""))</v>
      </c>
      <c r="F7">
        <v>3</v>
      </c>
      <c r="G7" t="str">
        <f>=IF(F7=2, C7/2,IF(F7=3,C7/SQRT(3),   ))</f>
        <v>=IF(F7=2, C7/2,IF(F7=3,C7/SQRT(3),   ))</v>
      </c>
      <c r="H7" t="str">
        <f>=+'2nd Page'!C9</f>
        <v>=+'2nd Page'!C9</v>
      </c>
      <c r="I7" t="str">
        <f>='2nd Page'!E9</f>
        <v>='2nd Page'!E9</v>
      </c>
      <c r="J7" t="s">
        <v>42</v>
      </c>
      <c r="K7" t="str">
        <f>=G7*I7</f>
        <v>=G7*I7</v>
      </c>
      <c r="L7" t="str">
        <f>=K7*K7</f>
        <v>=K7*K7</v>
      </c>
      <c r="M7" t="s">
        <v>89</v>
      </c>
    </row>
    <row r="8" spans="1:13" x14ac:dyDescent="0.25">
      <c r="A8" t="s">
        <v>58</v>
      </c>
      <c r="C8" t="str">
        <f>='2nd Page'!B11</f>
        <v>='2nd Page'!B11</v>
      </c>
      <c r="D8" t="str">
        <f>=C8/2</f>
        <v>=C8/2</v>
      </c>
      <c r="E8" t="str">
        <f>=IF(F8=2,"Normal-B",IF(F8=3,"Rectangular-B",  ""))</f>
        <v>=IF(F8=2,"Normal-B",IF(F8=3,"Rectangular-B",  ""))</v>
      </c>
      <c r="F8">
        <v>2</v>
      </c>
      <c r="G8" t="str">
        <f>=IF(F8=2, C8/2,IF(F8=3,C8/SQRT(3),   ))</f>
        <v>=IF(F8=2, C8/2,IF(F8=3,C8/SQRT(3),   ))</v>
      </c>
      <c r="H8" t="str">
        <f>=+'2nd Page'!C11</f>
        <v>=+'2nd Page'!C11</v>
      </c>
      <c r="I8" t="str">
        <f>='2nd Page'!E11</f>
        <v>='2nd Page'!E11</v>
      </c>
      <c r="J8" t="s">
        <v>93</v>
      </c>
      <c r="K8" t="str">
        <f>=G8*I8</f>
        <v>=G8*I8</v>
      </c>
      <c r="L8" t="str">
        <f>=K8*K8</f>
        <v>=K8*K8</v>
      </c>
      <c r="M8" t="s">
        <v>89</v>
      </c>
    </row>
    <row r="9" spans="1:13" x14ac:dyDescent="0.25">
      <c r="A9" t="s">
        <v>61</v>
      </c>
      <c r="C9" t="str">
        <f>='2nd Page'!B13</f>
        <v>='2nd Page'!B13</v>
      </c>
      <c r="D9" t="str">
        <f>=C9/2</f>
        <v>=C9/2</v>
      </c>
      <c r="E9" t="str">
        <f>=IF(F9=2,"Normal-B",IF(F9=3,"Rectangular-B",  ""))</f>
        <v>=IF(F9=2,"Normal-B",IF(F9=3,"Rectangular-B",  ""))</v>
      </c>
      <c r="F9">
        <v>3</v>
      </c>
      <c r="G9" t="str">
        <f>=IF(F9=2, C9/2,IF(F9=3,C9/SQRT(3),   ))</f>
        <v>=IF(F9=2, C9/2,IF(F9=3,C9/SQRT(3),   ))</v>
      </c>
      <c r="H9" t="str">
        <f>=+'2nd Page'!C13</f>
        <v>=+'2nd Page'!C13</v>
      </c>
      <c r="I9" t="str">
        <f>='2nd Page'!E13</f>
        <v>='2nd Page'!E13</v>
      </c>
      <c r="J9" t="s">
        <v>93</v>
      </c>
      <c r="K9" t="str">
        <f>=G9*I9</f>
        <v>=G9*I9</v>
      </c>
      <c r="L9" t="str">
        <f>=K9*K9</f>
        <v>=K9*K9</v>
      </c>
      <c r="M9" t="s">
        <v>89</v>
      </c>
    </row>
    <row r="10" spans="1:13" x14ac:dyDescent="0.25">
      <c r="A10" t="s">
        <v>94</v>
      </c>
      <c r="C10" t="str">
        <f>=+'2nd Page'!B15</f>
        <v>=+'2nd Page'!B15</v>
      </c>
      <c r="D10" t="str">
        <f>=C10/2</f>
        <v>=C10/2</v>
      </c>
      <c r="E10" t="str">
        <f>=IF(F10=2,"Normal-B",IF(F10=3,"Rectangular-B",  ""))</f>
        <v>=IF(F10=2,"Normal-B",IF(F10=3,"Rectangular-B",  ""))</v>
      </c>
      <c r="F10">
        <v>3</v>
      </c>
      <c r="G10" t="str">
        <f>=IF(F10=2, C10/2,IF(F10=3,C10/SQRT(3),   ))</f>
        <v>=IF(F10=2, C10/2,IF(F10=3,C10/SQRT(3),   ))</v>
      </c>
      <c r="H10" t="str">
        <f>=+'2nd Page'!C15</f>
        <v>=+'2nd Page'!C15</v>
      </c>
      <c r="I10" t="str">
        <f>=+'2nd Page'!E15</f>
        <v>=+'2nd Page'!E15</v>
      </c>
      <c r="J10" t="s">
        <v>93</v>
      </c>
      <c r="K10" t="str">
        <f>=G10*I10</f>
        <v>=G10*I10</v>
      </c>
      <c r="L10" t="str">
        <f>=K10*K10</f>
        <v>=K10*K10</v>
      </c>
      <c r="M10" t="s">
        <v>89</v>
      </c>
    </row>
    <row r="11" spans="1:13" x14ac:dyDescent="0.25">
      <c r="A11" t="s">
        <v>95</v>
      </c>
      <c r="C11" t="str">
        <f>=+'2nd Page'!B17</f>
        <v>=+'2nd Page'!B17</v>
      </c>
      <c r="D11" t="str">
        <f>=C11/2</f>
        <v>=C11/2</v>
      </c>
      <c r="E11" t="str">
        <f>=IF(F11=2,"Normal-B",IF(F11=3,"Rectangular-B",  ""))</f>
        <v>=IF(F11=2,"Normal-B",IF(F11=3,"Rectangular-B",  ""))</v>
      </c>
      <c r="F11">
        <v>3</v>
      </c>
      <c r="G11" t="str">
        <f>=IF(F11=2, C11/2,IF(F11=3,C11/SQRT(3),   ))</f>
        <v>=IF(F11=2, C11/2,IF(F11=3,C11/SQRT(3),   ))</v>
      </c>
      <c r="H11" t="str">
        <f>=+'2nd Page'!C17</f>
        <v>=+'2nd Page'!C17</v>
      </c>
      <c r="I11" t="str">
        <f>=+'2nd Page'!E17</f>
        <v>=+'2nd Page'!E17</v>
      </c>
      <c r="J11" t="s">
        <v>93</v>
      </c>
      <c r="K11" t="str">
        <f>=G11*I11</f>
        <v>=G11*I11</v>
      </c>
      <c r="L11" t="str">
        <f>=K11*K11</f>
        <v>=K11*K11</v>
      </c>
      <c r="M11" t="s">
        <v>89</v>
      </c>
    </row>
    <row r="12" spans="1:13" x14ac:dyDescent="0.25">
      <c r="A12" t="s">
        <v>96</v>
      </c>
      <c r="C12" t="str">
        <f>='2nd Page'!B19</f>
        <v>='2nd Page'!B19</v>
      </c>
      <c r="D12" t="str">
        <f>=C12/2</f>
        <v>=C12/2</v>
      </c>
      <c r="E12" t="str">
        <f>=IF(F12=2,"Normal-B",IF(F12=3,"Rectangular-B",  ""))</f>
        <v>=IF(F12=2,"Normal-B",IF(F12=3,"Rectangular-B",  ""))</v>
      </c>
      <c r="F12">
        <v>3</v>
      </c>
      <c r="G12" t="str">
        <f>=IF(F12=2, C12/2,IF(F12=3,C12/SQRT(3),   ))</f>
        <v>=IF(F12=2, C12/2,IF(F12=3,C12/SQRT(3),   ))</v>
      </c>
      <c r="H12" t="str">
        <f>=+'2nd Page'!C19</f>
        <v>=+'2nd Page'!C19</v>
      </c>
      <c r="I12" t="str">
        <f>='2nd Page'!E19</f>
        <v>='2nd Page'!E19</v>
      </c>
      <c r="J12" t="s">
        <v>93</v>
      </c>
      <c r="K12" t="str">
        <f>=G12*I12</f>
        <v>=G12*I12</v>
      </c>
      <c r="L12" t="str">
        <f>=K12*K12</f>
        <v>=K12*K12</v>
      </c>
      <c r="M12" t="s">
        <v>89</v>
      </c>
    </row>
    <row r="13" spans="1:13" x14ac:dyDescent="0.25">
      <c r="A13" t="s">
        <v>97</v>
      </c>
      <c r="C13" t="str">
        <f>='2nd Page'!B21</f>
        <v>='2nd Page'!B21</v>
      </c>
      <c r="D13" t="str">
        <f>=C13/2</f>
        <v>=C13/2</v>
      </c>
      <c r="E13" t="s">
        <v>98</v>
      </c>
      <c r="F13">
        <v>5</v>
      </c>
      <c r="G13" t="str">
        <f>=IF(F13=2, C13/2,IF(F13=5,C13/SQRT(10),   ))</f>
        <v>=IF(F13=2, C13/2,IF(F13=5,C13/SQRT(10),   ))</v>
      </c>
      <c r="H13" t="str">
        <f>=+'2nd Page'!C21</f>
        <v>=+'2nd Page'!C21</v>
      </c>
      <c r="I13">
        <v>1</v>
      </c>
      <c r="J13" t="s">
        <v>42</v>
      </c>
      <c r="K13" t="str">
        <f>=G13*I13</f>
        <v>=G13*I13</v>
      </c>
      <c r="L13" t="str">
        <f>=K13*K13</f>
        <v>=K13*K13</v>
      </c>
      <c r="M13">
        <v>9</v>
      </c>
    </row>
    <row r="14" spans="1:12" x14ac:dyDescent="0.25">
      <c r="L14" t="str">
        <f>=SUM(L5:L13)</f>
        <v>=SUM(L5:L13)</v>
      </c>
    </row>
    <row r="15" spans="1:8" x14ac:dyDescent="0.25">
      <c r="C15" t="s">
        <v>99</v>
      </c>
      <c r="D15"/>
      <c r="E15"/>
      <c r="F15" t="str">
        <f>=SQRT(L14)</f>
        <v>=SQRT(L14)</v>
      </c>
      <c r="G15"/>
      <c r="H15" t="s">
        <v>100</v>
      </c>
    </row>
    <row r="17" spans="1:8" x14ac:dyDescent="0.25">
      <c r="C17" t="s">
        <v>101</v>
      </c>
      <c r="D17"/>
      <c r="E17"/>
      <c r="F17" t="str">
        <f>=(((F15/K13)^4)*M13)</f>
        <v>=(((F15/K13)^4)*M13)</v>
      </c>
      <c r="G17"/>
      <c r="H17"/>
    </row>
    <row r="18" spans="1:3" x14ac:dyDescent="0.25">
      <c r="C18" t="s">
        <v>102</v>
      </c>
    </row>
    <row r="20" spans="1:7" x14ac:dyDescent="0.25">
      <c r="C20" t="s">
        <v>103</v>
      </c>
      <c r="D20"/>
      <c r="E20"/>
      <c r="F20">
        <v>2</v>
      </c>
      <c r="G20"/>
    </row>
    <row r="22" spans="1:8" x14ac:dyDescent="0.25">
      <c r="C22" t="s">
        <v>104</v>
      </c>
      <c r="D22"/>
      <c r="E22"/>
      <c r="F22" t="str">
        <f>=ROUND(F20*F15,2)</f>
        <v>=ROUND(F20*F15,2)</v>
      </c>
      <c r="G22"/>
      <c r="H22" t="s">
        <v>42</v>
      </c>
    </row>
    <row r="23" spans="1:6" x14ac:dyDescent="0.25">
      <c r="F23" t="s">
        <v>105</v>
      </c>
    </row>
    <row r="39" spans="1:13" x14ac:dyDescent="0.25">
      <c r="A39" t="s">
        <v>44</v>
      </c>
      <c r="I39" t="s">
        <v>106</v>
      </c>
      <c r="J39"/>
      <c r="K39"/>
      <c r="L39"/>
      <c r="M39"/>
    </row>
  </sheetData>
  <mergeCells count="14">
    <mergeCell ref="A1:L2"/>
    <mergeCell ref="A3:M3"/>
    <mergeCell ref="A4:B4"/>
    <mergeCell ref="G4:H4"/>
    <mergeCell ref="I4:J4"/>
    <mergeCell ref="C15:E15"/>
    <mergeCell ref="F15:G15"/>
    <mergeCell ref="C17:E17"/>
    <mergeCell ref="F17:H17"/>
    <mergeCell ref="C20:E20"/>
    <mergeCell ref="F20:G20"/>
    <mergeCell ref="C22:E22"/>
    <mergeCell ref="F22:G22"/>
    <mergeCell ref="I39:M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6" width="12" customWidth="1"/>
  </cols>
  <sheetData>
    <row r="1" spans="1:6" x14ac:dyDescent="0.25">
      <c r="A1" s="1" t="s">
        <v>107</v>
      </c>
      <c r="B1" s="1"/>
      <c r="C1" s="1"/>
      <c r="D1" s="1"/>
      <c r="E1" s="1"/>
      <c r="F1" s="1"/>
    </row>
    <row r="2" spans="1:6" x14ac:dyDescent="0.25">
      <c r="A2" s="1" t="s">
        <v>108</v>
      </c>
      <c r="B2" s="1" t="s">
        <v>109</v>
      </c>
      <c r="C2" s="1" t="s">
        <v>110</v>
      </c>
      <c r="D2" s="1" t="s">
        <v>111</v>
      </c>
      <c r="E2" s="1" t="s">
        <v>112</v>
      </c>
      <c r="F2" s="1"/>
    </row>
    <row r="3" spans="1:6" x14ac:dyDescent="0.25">
      <c r="A3" s="1" t="s">
        <v>113</v>
      </c>
      <c r="B3" t="s">
        <v>114</v>
      </c>
      <c r="C3" t="s">
        <v>114</v>
      </c>
      <c r="D3" t="s">
        <v>114</v>
      </c>
      <c r="E3" t="str">
        <f>=ROUND(AVERAGE(B3:D3),4)</f>
        <v>=ROUND(AVERAGE(B3:D3),4)</v>
      </c>
      <c r="F3"/>
    </row>
    <row r="4" spans="1:6" x14ac:dyDescent="0.25">
      <c r="A4" s="1" t="s">
        <v>115</v>
      </c>
      <c r="B4" t="s">
        <v>114</v>
      </c>
      <c r="C4" t="s">
        <v>114</v>
      </c>
      <c r="D4" t="s">
        <v>114</v>
      </c>
      <c r="E4" t="str">
        <f>=ROUND(AVERAGE(B4:D4),4)</f>
        <v>=ROUND(AVERAGE(B4:D4),4)</v>
      </c>
      <c r="F4"/>
    </row>
    <row r="5" spans="1:6" x14ac:dyDescent="0.25">
      <c r="A5" s="1" t="s">
        <v>116</v>
      </c>
      <c r="B5" t="s">
        <v>117</v>
      </c>
      <c r="C5" t="s">
        <v>117</v>
      </c>
      <c r="D5" t="s">
        <v>117</v>
      </c>
      <c r="E5" t="str">
        <f>=ROUND(AVERAGE(B5:D5),4)</f>
        <v>=ROUND(AVERAGE(B5:D5),4)</v>
      </c>
      <c r="F5"/>
    </row>
    <row r="6" spans="1:6" x14ac:dyDescent="0.25">
      <c r="A6" s="1" t="s">
        <v>118</v>
      </c>
      <c r="B6" t="s">
        <v>117</v>
      </c>
      <c r="C6" t="s">
        <v>117</v>
      </c>
      <c r="D6" t="s">
        <v>117</v>
      </c>
      <c r="E6" t="str">
        <f>=ROUND(AVERAGE(B6:D6),4)</f>
        <v>=ROUND(AVERAGE(B6:D6),4)</v>
      </c>
      <c r="F6"/>
    </row>
    <row r="7" spans="1:6" x14ac:dyDescent="0.25">
      <c r="A7" s="1" t="s">
        <v>119</v>
      </c>
      <c r="B7" s="1"/>
      <c r="C7" s="1"/>
      <c r="D7" s="1"/>
      <c r="E7" t="str">
        <f>=ROUND(AVERAGE(E3:E6),4)</f>
        <v>=ROUND(AVERAGE(E3:E6),4)</v>
      </c>
      <c r="F7"/>
    </row>
    <row r="8" spans="1:6" x14ac:dyDescent="0.25"/>
    <row r="9" spans="1:6" x14ac:dyDescent="0.25">
      <c r="A9" s="1" t="s">
        <v>120</v>
      </c>
      <c r="B9" s="1"/>
      <c r="C9" s="1"/>
      <c r="D9" s="1"/>
      <c r="E9" s="1"/>
      <c r="F9" s="1"/>
    </row>
    <row r="10" spans="1:6" x14ac:dyDescent="0.25">
      <c r="A10" s="1" t="s">
        <v>108</v>
      </c>
      <c r="B10" s="1" t="s">
        <v>109</v>
      </c>
      <c r="C10" s="1" t="s">
        <v>110</v>
      </c>
      <c r="D10" s="1" t="s">
        <v>111</v>
      </c>
      <c r="E10" s="1" t="s">
        <v>112</v>
      </c>
      <c r="F10" s="1"/>
    </row>
    <row r="11" spans="1:6" x14ac:dyDescent="0.25">
      <c r="A11" s="1" t="s">
        <v>113</v>
      </c>
      <c r="B11" t="str">
        <f>=ROUND(B3/25.4,5)</f>
        <v>=ROUND(B3/25.4,5)</v>
      </c>
      <c r="C11" t="str">
        <f>=ROUND(C3/25.4,5)</f>
        <v>=ROUND(C3/25.4,5)</v>
      </c>
      <c r="D11" t="str">
        <f>=ROUND(D3/25.4,5)</f>
        <v>=ROUND(D3/25.4,5)</v>
      </c>
      <c r="E11" t="str">
        <f>=ROUND(AVERAGE(B11:D11),5)</f>
        <v>=ROUND(AVERAGE(B11:D11),5)</v>
      </c>
      <c r="F11"/>
    </row>
    <row r="12" spans="1:6" x14ac:dyDescent="0.25">
      <c r="A12" s="1" t="s">
        <v>115</v>
      </c>
      <c r="B12" t="str">
        <f>=ROUND(B4/25.4,5)</f>
        <v>=ROUND(B4/25.4,5)</v>
      </c>
      <c r="C12" t="str">
        <f>=ROUND(C4/25.4,5)</f>
        <v>=ROUND(C4/25.4,5)</v>
      </c>
      <c r="D12" t="str">
        <f>=ROUND(D4/25.4,5)</f>
        <v>=ROUND(D4/25.4,5)</v>
      </c>
      <c r="E12" t="str">
        <f>=ROUND(AVERAGE(B12:D12),5)</f>
        <v>=ROUND(AVERAGE(B12:D12),5)</v>
      </c>
      <c r="F12"/>
    </row>
    <row r="13" spans="1:6" x14ac:dyDescent="0.25">
      <c r="A13" s="1" t="s">
        <v>116</v>
      </c>
      <c r="B13" t="str">
        <f>=ROUND(B5/25.4,5)</f>
        <v>=ROUND(B5/25.4,5)</v>
      </c>
      <c r="C13" t="str">
        <f>=ROUND(C5/25.4,5)</f>
        <v>=ROUND(C5/25.4,5)</v>
      </c>
      <c r="D13" t="str">
        <f>=ROUND(D5/25.4,5)</f>
        <v>=ROUND(D5/25.4,5)</v>
      </c>
      <c r="E13" t="str">
        <f>=ROUND(AVERAGE(B13:D13),5)</f>
        <v>=ROUND(AVERAGE(B13:D13),5)</v>
      </c>
      <c r="F13"/>
    </row>
    <row r="14" spans="1:6" x14ac:dyDescent="0.25">
      <c r="A14" s="1" t="s">
        <v>118</v>
      </c>
      <c r="B14" t="str">
        <f>=ROUND(B6/25.4,5)</f>
        <v>=ROUND(B6/25.4,5)</v>
      </c>
      <c r="C14" t="str">
        <f>=ROUND(C6/25.4,5)</f>
        <v>=ROUND(C6/25.4,5)</v>
      </c>
      <c r="D14" t="str">
        <f>=ROUND(D6/25.4,5)</f>
        <v>=ROUND(D6/25.4,5)</v>
      </c>
      <c r="E14" t="str">
        <f>=ROUND(AVERAGE(B14:D14),5)</f>
        <v>=ROUND(AVERAGE(B14:D14),5)</v>
      </c>
      <c r="F14"/>
    </row>
    <row r="15" spans="1:6" x14ac:dyDescent="0.25">
      <c r="A15" s="1" t="s">
        <v>119</v>
      </c>
      <c r="B15" s="1"/>
      <c r="C15" s="1"/>
      <c r="D15" s="1"/>
      <c r="E15" t="str">
        <f>=ROUND(AVERAGE(E11:E14),5)</f>
        <v>=ROUND(AVERAGE(E11:E14),5)</v>
      </c>
      <c r="F15"/>
    </row>
    <row r="16" spans="1:6" x14ac:dyDescent="0.25"/>
    <row r="17" spans="1:6" x14ac:dyDescent="0.25">
      <c r="A17" s="1" t="s">
        <v>121</v>
      </c>
      <c r="B17" s="1"/>
      <c r="C17" s="1"/>
      <c r="D17" s="1"/>
      <c r="E17" s="1"/>
      <c r="F17" s="1"/>
    </row>
    <row r="18" spans="1:6" x14ac:dyDescent="0.25">
      <c r="A18" s="1" t="s">
        <v>122</v>
      </c>
      <c r="B18" s="1" t="s">
        <v>123</v>
      </c>
      <c r="C18" s="1" t="s">
        <v>124</v>
      </c>
      <c r="D18" s="1" t="s">
        <v>125</v>
      </c>
      <c r="E18" s="1" t="s">
        <v>126</v>
      </c>
      <c r="F18" s="1" t="s">
        <v>127</v>
      </c>
    </row>
    <row r="19" spans="1:6" x14ac:dyDescent="0.25">
      <c r="A19" t="s">
        <v>114</v>
      </c>
      <c r="B19" t="s">
        <v>114</v>
      </c>
      <c r="C19" t="s">
        <v>114</v>
      </c>
      <c r="D19" t="s">
        <v>114</v>
      </c>
      <c r="E19" t="s">
        <v>114</v>
      </c>
      <c r="F19" t="str">
        <f>=ROUND(SQRT(MAX(VAR.S(A19:E19),0)),4)</f>
        <v>=ROUND(SQRT(MAX(VAR.S(A19:E19),0)),4)</v>
      </c>
    </row>
  </sheetData>
  <mergeCells count="17">
    <mergeCell ref="A1:F1"/>
    <mergeCell ref="E2:F2"/>
    <mergeCell ref="E3:F3"/>
    <mergeCell ref="E4:F4"/>
    <mergeCell ref="E5:F5"/>
    <mergeCell ref="E6:F6"/>
    <mergeCell ref="A7:D7"/>
    <mergeCell ref="E7:F7"/>
    <mergeCell ref="A9:F9"/>
    <mergeCell ref="E10:F10"/>
    <mergeCell ref="E11:F11"/>
    <mergeCell ref="E12:F12"/>
    <mergeCell ref="E13:F13"/>
    <mergeCell ref="E14:F14"/>
    <mergeCell ref="A15:D15"/>
    <mergeCell ref="E15:F15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5" width="12" customWidth="1"/>
  </cols>
  <sheetData>
    <row r="1" spans="1:5" x14ac:dyDescent="0.25">
      <c r="A1" s="1" t="s">
        <v>128</v>
      </c>
      <c r="B1" s="1"/>
      <c r="C1" s="1"/>
      <c r="D1" s="1"/>
      <c r="E1" s="1"/>
    </row>
    <row r="2" spans="1:5" x14ac:dyDescent="0.25">
      <c r="A2" s="1" t="s">
        <v>108</v>
      </c>
      <c r="B2" s="1" t="s">
        <v>129</v>
      </c>
      <c r="C2" s="1"/>
      <c r="D2" s="1"/>
      <c r="E2" s="1" t="s">
        <v>112</v>
      </c>
    </row>
    <row r="3" spans="1:5" x14ac:dyDescent="0.25">
      <c r="A3" s="1"/>
      <c r="B3" s="1" t="s">
        <v>109</v>
      </c>
      <c r="C3" s="1" t="s">
        <v>110</v>
      </c>
      <c r="D3" s="1" t="s">
        <v>111</v>
      </c>
      <c r="E3" s="1"/>
    </row>
    <row r="4" spans="1:5" x14ac:dyDescent="0.25">
      <c r="A4" t="s">
        <v>130</v>
      </c>
      <c r="B4" t="str">
        <f>=observation!B3</f>
        <v>=observation!B3</v>
      </c>
      <c r="C4" t="str">
        <f>=observation!C3</f>
        <v>=observation!C3</v>
      </c>
      <c r="D4" t="str">
        <f>=observation!D3</f>
        <v>=observation!D3</v>
      </c>
      <c r="E4" t="str">
        <f>=observation!E3</f>
        <v>=observation!E3</v>
      </c>
    </row>
    <row r="5" spans="1:5" x14ac:dyDescent="0.25">
      <c r="A5" t="s">
        <v>131</v>
      </c>
      <c r="B5" t="str">
        <f>=observation!B4</f>
        <v>=observation!B4</v>
      </c>
      <c r="C5" t="str">
        <f>=observation!C4</f>
        <v>=observation!C4</v>
      </c>
      <c r="D5" t="str">
        <f>=observation!D4</f>
        <v>=observation!D4</v>
      </c>
      <c r="E5" t="str">
        <f>=observation!E4</f>
        <v>=observation!E4</v>
      </c>
    </row>
    <row r="6" spans="1:5" x14ac:dyDescent="0.25">
      <c r="A6" t="s">
        <v>132</v>
      </c>
      <c r="B6" t="str">
        <f>=observation!B5</f>
        <v>=observation!B5</v>
      </c>
      <c r="C6" t="str">
        <f>=observation!C5</f>
        <v>=observation!C5</v>
      </c>
      <c r="D6" t="str">
        <f>=observation!D5</f>
        <v>=observation!D5</v>
      </c>
      <c r="E6" t="str">
        <f>=observation!E5</f>
        <v>=observation!E5</v>
      </c>
    </row>
    <row r="7" spans="1:5" x14ac:dyDescent="0.25">
      <c r="A7" t="s">
        <v>133</v>
      </c>
      <c r="B7" t="str">
        <f>=observation!B6</f>
        <v>=observation!B6</v>
      </c>
      <c r="C7" t="str">
        <f>=observation!C6</f>
        <v>=observation!C6</v>
      </c>
      <c r="D7" t="str">
        <f>=observation!D6</f>
        <v>=observation!D6</v>
      </c>
      <c r="E7" t="str">
        <f>=observation!E6</f>
        <v>=observation!E6</v>
      </c>
    </row>
    <row r="8" spans="1:5" x14ac:dyDescent="0.25">
      <c r="A8" s="1" t="s">
        <v>119</v>
      </c>
      <c r="B8" s="1"/>
      <c r="C8" s="1"/>
      <c r="D8" s="1"/>
      <c r="E8" t="str">
        <f>=MROUND(observation!E7,0.0001)</f>
        <v>=MROUND(observation!E7,0.0001)</v>
      </c>
    </row>
    <row r="9" spans="1:5" x14ac:dyDescent="0.25">
      <c r="E9" t="s">
        <v>105</v>
      </c>
    </row>
    <row r="10" spans="1:5" x14ac:dyDescent="0.25"/>
    <row r="11" spans="1:5" x14ac:dyDescent="0.25">
      <c r="A11" s="1" t="s">
        <v>134</v>
      </c>
      <c r="B11" s="1"/>
      <c r="C11" s="1"/>
      <c r="D11" s="1"/>
      <c r="E11" s="1"/>
    </row>
    <row r="12" spans="1:5" x14ac:dyDescent="0.25">
      <c r="A12" s="1" t="s">
        <v>108</v>
      </c>
      <c r="B12" s="1" t="s">
        <v>135</v>
      </c>
      <c r="C12" s="1"/>
      <c r="D12" s="1"/>
      <c r="E12" s="1" t="s">
        <v>112</v>
      </c>
    </row>
    <row r="13" spans="1:5" x14ac:dyDescent="0.25">
      <c r="A13" s="1"/>
      <c r="B13" s="1" t="s">
        <v>109</v>
      </c>
      <c r="C13" s="1" t="s">
        <v>110</v>
      </c>
      <c r="D13" s="1" t="s">
        <v>111</v>
      </c>
      <c r="E13" s="1"/>
    </row>
    <row r="14" spans="1:5" x14ac:dyDescent="0.25">
      <c r="A14" t="s">
        <v>130</v>
      </c>
      <c r="B14" t="str">
        <f>=observation!B11</f>
        <v>=observation!B11</v>
      </c>
      <c r="C14" t="str">
        <f>=observation!C11</f>
        <v>=observation!C11</v>
      </c>
      <c r="D14" t="str">
        <f>=observation!D11</f>
        <v>=observation!D11</v>
      </c>
      <c r="E14" t="str">
        <f>=MROUND(observation!E11,0.00001)</f>
        <v>=MROUND(observation!E11,0.00001)</v>
      </c>
    </row>
    <row r="15" spans="1:5" x14ac:dyDescent="0.25">
      <c r="A15" t="s">
        <v>131</v>
      </c>
      <c r="B15" t="str">
        <f>=observation!B12</f>
        <v>=observation!B12</v>
      </c>
      <c r="C15" t="str">
        <f>=observation!C12</f>
        <v>=observation!C12</v>
      </c>
      <c r="D15" t="str">
        <f>=observation!D12</f>
        <v>=observation!D12</v>
      </c>
      <c r="E15" t="str">
        <f>=MROUND(observation!E12,0.00001)</f>
        <v>=MROUND(observation!E12,0.00001)</v>
      </c>
    </row>
    <row r="16" spans="1:5" x14ac:dyDescent="0.25">
      <c r="A16" t="s">
        <v>132</v>
      </c>
      <c r="B16" t="str">
        <f>=observation!B13</f>
        <v>=observation!B13</v>
      </c>
      <c r="C16" t="str">
        <f>=observation!C13</f>
        <v>=observation!C13</v>
      </c>
      <c r="D16" t="str">
        <f>=observation!D13</f>
        <v>=observation!D13</v>
      </c>
      <c r="E16" t="str">
        <f>=MROUND(observation!E13,0.00001)</f>
        <v>=MROUND(observation!E13,0.00001)</v>
      </c>
    </row>
    <row r="17" spans="1:5" x14ac:dyDescent="0.25">
      <c r="A17" t="s">
        <v>133</v>
      </c>
      <c r="B17" t="str">
        <f>=observation!B14</f>
        <v>=observation!B14</v>
      </c>
      <c r="C17" t="str">
        <f>=observation!C14</f>
        <v>=observation!C14</v>
      </c>
      <c r="D17" t="str">
        <f>=observation!D14</f>
        <v>=observation!D14</v>
      </c>
      <c r="E17" t="str">
        <f>=MROUND(observation!E14,0.00001)</f>
        <v>=MROUND(observation!E14,0.00001)</v>
      </c>
    </row>
    <row r="18" spans="1:5" x14ac:dyDescent="0.25">
      <c r="A18" s="1" t="s">
        <v>119</v>
      </c>
      <c r="B18" s="1"/>
      <c r="C18" s="1"/>
      <c r="D18" s="1"/>
      <c r="E18" t="str">
        <f>=MROUND(observation!E15,0.00001)</f>
        <v>=MROUND(observation!E15,0.00001)</v>
      </c>
    </row>
    <row r="19" spans="1:5" x14ac:dyDescent="0.25">
      <c r="A19" s="1" t="s">
        <v>136</v>
      </c>
      <c r="B19" t="s">
        <v>137</v>
      </c>
      <c r="C19"/>
      <c r="D19"/>
      <c r="E19"/>
    </row>
  </sheetData>
  <mergeCells count="11">
    <mergeCell ref="A1:E1"/>
    <mergeCell ref="B2:D2"/>
    <mergeCell ref="A2:A3"/>
    <mergeCell ref="E2:E3"/>
    <mergeCell ref="A8:D8"/>
    <mergeCell ref="A11:E11"/>
    <mergeCell ref="B12:D12"/>
    <mergeCell ref="A12:A13"/>
    <mergeCell ref="E12:E13"/>
    <mergeCell ref="A18:D18"/>
    <mergeCell ref="B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FormatPr defaultRowHeight="15" outlineLevelRow="0" outlineLevelCol="0" x14ac:dyDescent="55"/>
  <cols>
    <col min="1" max="26" width="12" customWidth="1"/>
  </cols>
  <sheetData>
    <row r="1" spans="1:26" x14ac:dyDescent="0.25">
      <c r="A1" t="s">
        <v>138</v>
      </c>
      <c r="B1" t="s">
        <v>105</v>
      </c>
      <c r="C1" t="s">
        <v>105</v>
      </c>
      <c r="D1" t="s">
        <v>105</v>
      </c>
      <c r="E1" t="s">
        <v>105</v>
      </c>
      <c r="F1" t="s">
        <v>105</v>
      </c>
      <c r="G1" t="s">
        <v>105</v>
      </c>
      <c r="H1" t="s">
        <v>105</v>
      </c>
      <c r="I1" t="s">
        <v>105</v>
      </c>
      <c r="J1" t="s">
        <v>105</v>
      </c>
      <c r="K1" t="s">
        <v>105</v>
      </c>
      <c r="L1" t="s">
        <v>105</v>
      </c>
      <c r="M1" t="s">
        <v>105</v>
      </c>
      <c r="N1" t="s">
        <v>105</v>
      </c>
      <c r="O1" t="s">
        <v>105</v>
      </c>
      <c r="P1" t="s">
        <v>105</v>
      </c>
      <c r="Q1" t="s">
        <v>105</v>
      </c>
      <c r="R1" t="s">
        <v>105</v>
      </c>
      <c r="S1" t="s">
        <v>105</v>
      </c>
      <c r="T1" t="s">
        <v>105</v>
      </c>
      <c r="U1" t="s">
        <v>105</v>
      </c>
      <c r="V1" t="s">
        <v>105</v>
      </c>
      <c r="W1" t="s">
        <v>105</v>
      </c>
      <c r="X1" t="s">
        <v>105</v>
      </c>
      <c r="Y1" t="s">
        <v>105</v>
      </c>
      <c r="Z1" t="s">
        <v>105</v>
      </c>
    </row>
    <row r="2" spans="1:26" x14ac:dyDescent="0.25">
      <c r="A2" t="s">
        <v>105</v>
      </c>
      <c r="B2" t="s">
        <v>105</v>
      </c>
      <c r="C2" t="s">
        <v>105</v>
      </c>
      <c r="D2" t="s">
        <v>105</v>
      </c>
      <c r="E2" t="s">
        <v>105</v>
      </c>
      <c r="F2" t="s">
        <v>105</v>
      </c>
      <c r="G2" t="s">
        <v>105</v>
      </c>
      <c r="H2" t="s">
        <v>105</v>
      </c>
      <c r="I2" t="s">
        <v>105</v>
      </c>
      <c r="J2" t="s">
        <v>105</v>
      </c>
      <c r="K2" t="s">
        <v>105</v>
      </c>
      <c r="L2" t="s">
        <v>105</v>
      </c>
      <c r="M2" t="s">
        <v>105</v>
      </c>
      <c r="N2" t="s">
        <v>105</v>
      </c>
      <c r="O2" t="s">
        <v>105</v>
      </c>
      <c r="P2" t="s">
        <v>105</v>
      </c>
      <c r="Q2" t="s">
        <v>105</v>
      </c>
      <c r="R2" t="s">
        <v>105</v>
      </c>
      <c r="S2" t="s">
        <v>105</v>
      </c>
      <c r="T2" t="s">
        <v>105</v>
      </c>
      <c r="U2" t="s">
        <v>105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</row>
    <row r="3" spans="1:26" x14ac:dyDescent="0.25">
      <c r="A3" t="s">
        <v>105</v>
      </c>
      <c r="B3" t="s">
        <v>105</v>
      </c>
      <c r="C3"/>
      <c r="D3" t="s">
        <v>105</v>
      </c>
      <c r="E3" t="s">
        <v>105</v>
      </c>
      <c r="F3" t="s">
        <v>105</v>
      </c>
      <c r="G3" t="s">
        <v>105</v>
      </c>
      <c r="H3" t="s">
        <v>105</v>
      </c>
      <c r="I3" t="s">
        <v>105</v>
      </c>
      <c r="J3" t="s">
        <v>105</v>
      </c>
      <c r="K3" t="s">
        <v>105</v>
      </c>
      <c r="L3" t="s">
        <v>105</v>
      </c>
      <c r="M3" t="s">
        <v>105</v>
      </c>
      <c r="N3" t="s">
        <v>105</v>
      </c>
      <c r="O3" t="s">
        <v>105</v>
      </c>
      <c r="P3" t="s">
        <v>105</v>
      </c>
      <c r="Q3" t="s">
        <v>105</v>
      </c>
      <c r="R3" t="s">
        <v>105</v>
      </c>
      <c r="S3" t="s">
        <v>105</v>
      </c>
      <c r="T3" t="s">
        <v>105</v>
      </c>
      <c r="U3" t="s">
        <v>105</v>
      </c>
      <c r="V3" t="s">
        <v>105</v>
      </c>
      <c r="W3" t="s">
        <v>105</v>
      </c>
      <c r="X3" t="s">
        <v>105</v>
      </c>
      <c r="Y3" t="s">
        <v>105</v>
      </c>
      <c r="Z3" t="s">
        <v>105</v>
      </c>
    </row>
    <row r="4" spans="1:26" x14ac:dyDescent="0.25">
      <c r="A4" t="s">
        <v>105</v>
      </c>
      <c r="B4" t="s">
        <v>105</v>
      </c>
      <c r="C4" t="s">
        <v>105</v>
      </c>
      <c r="D4" t="s">
        <v>105</v>
      </c>
      <c r="E4" t="s">
        <v>105</v>
      </c>
      <c r="F4" t="s">
        <v>105</v>
      </c>
      <c r="G4" t="s">
        <v>105</v>
      </c>
      <c r="H4" t="s">
        <v>105</v>
      </c>
      <c r="I4" t="s">
        <v>105</v>
      </c>
      <c r="J4" t="s">
        <v>105</v>
      </c>
      <c r="K4" t="s">
        <v>105</v>
      </c>
      <c r="L4" t="s">
        <v>105</v>
      </c>
      <c r="M4" t="s">
        <v>105</v>
      </c>
      <c r="N4" t="s">
        <v>105</v>
      </c>
      <c r="O4" t="s">
        <v>105</v>
      </c>
      <c r="P4" t="s">
        <v>105</v>
      </c>
      <c r="Q4" t="s">
        <v>105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</row>
    <row r="5" spans="1:26" x14ac:dyDescent="0.25">
      <c r="A5" t="s">
        <v>105</v>
      </c>
      <c r="B5" t="s">
        <v>105</v>
      </c>
      <c r="C5" t="s">
        <v>105</v>
      </c>
      <c r="D5" t="s">
        <v>105</v>
      </c>
      <c r="E5" t="s">
        <v>105</v>
      </c>
      <c r="F5" t="s">
        <v>105</v>
      </c>
      <c r="G5" t="s">
        <v>105</v>
      </c>
      <c r="H5" t="s">
        <v>105</v>
      </c>
      <c r="I5" t="s">
        <v>105</v>
      </c>
      <c r="J5" t="s">
        <v>105</v>
      </c>
      <c r="K5" t="s">
        <v>105</v>
      </c>
      <c r="L5" t="s">
        <v>105</v>
      </c>
      <c r="M5" t="s">
        <v>105</v>
      </c>
      <c r="N5" t="s">
        <v>105</v>
      </c>
      <c r="O5" t="s">
        <v>105</v>
      </c>
      <c r="P5" t="s">
        <v>105</v>
      </c>
      <c r="Q5" t="s">
        <v>105</v>
      </c>
      <c r="R5" t="s">
        <v>105</v>
      </c>
      <c r="S5" t="s">
        <v>105</v>
      </c>
      <c r="T5" t="s">
        <v>105</v>
      </c>
      <c r="U5" t="s">
        <v>105</v>
      </c>
      <c r="V5" t="s">
        <v>105</v>
      </c>
      <c r="W5" t="s">
        <v>105</v>
      </c>
      <c r="X5" t="s">
        <v>105</v>
      </c>
      <c r="Y5" t="s">
        <v>105</v>
      </c>
      <c r="Z5" t="s">
        <v>105</v>
      </c>
    </row>
    <row r="6" spans="1:26" x14ac:dyDescent="0.25">
      <c r="A6" t="s">
        <v>105</v>
      </c>
      <c r="B6" t="s">
        <v>105</v>
      </c>
      <c r="C6" t="s">
        <v>105</v>
      </c>
      <c r="D6" t="s">
        <v>105</v>
      </c>
      <c r="E6" t="s">
        <v>105</v>
      </c>
      <c r="F6" t="s">
        <v>105</v>
      </c>
      <c r="G6" t="s">
        <v>105</v>
      </c>
      <c r="H6" t="s">
        <v>105</v>
      </c>
      <c r="I6" t="s">
        <v>105</v>
      </c>
      <c r="J6" t="s">
        <v>105</v>
      </c>
      <c r="K6" t="s">
        <v>105</v>
      </c>
      <c r="L6" t="s">
        <v>105</v>
      </c>
      <c r="M6" t="s">
        <v>105</v>
      </c>
      <c r="N6" t="s">
        <v>105</v>
      </c>
      <c r="O6" t="s">
        <v>105</v>
      </c>
      <c r="P6" t="s">
        <v>105</v>
      </c>
      <c r="Q6" t="s">
        <v>105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</row>
    <row r="7" spans="1:26" x14ac:dyDescent="0.25">
      <c r="A7" t="s">
        <v>105</v>
      </c>
      <c r="B7" t="s">
        <v>105</v>
      </c>
      <c r="C7" t="s">
        <v>105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  <c r="L7" t="s">
        <v>105</v>
      </c>
      <c r="M7" t="s">
        <v>105</v>
      </c>
      <c r="N7" t="s">
        <v>105</v>
      </c>
      <c r="O7" t="s">
        <v>105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</row>
    <row r="8" spans="1:26" x14ac:dyDescent="0.25">
      <c r="A8" t="s">
        <v>105</v>
      </c>
      <c r="B8" t="s">
        <v>105</v>
      </c>
      <c r="C8" t="s">
        <v>105</v>
      </c>
      <c r="D8" t="s">
        <v>105</v>
      </c>
      <c r="E8" t="s">
        <v>105</v>
      </c>
      <c r="F8" t="s">
        <v>105</v>
      </c>
      <c r="G8" t="s">
        <v>105</v>
      </c>
      <c r="H8" t="s">
        <v>105</v>
      </c>
      <c r="I8" t="s">
        <v>105</v>
      </c>
      <c r="J8" t="s">
        <v>105</v>
      </c>
      <c r="K8" t="s">
        <v>105</v>
      </c>
      <c r="L8" t="s">
        <v>105</v>
      </c>
      <c r="M8" t="s">
        <v>105</v>
      </c>
      <c r="N8" t="s">
        <v>105</v>
      </c>
      <c r="O8" t="s">
        <v>105</v>
      </c>
      <c r="P8" t="s">
        <v>105</v>
      </c>
      <c r="Q8" t="s">
        <v>105</v>
      </c>
      <c r="R8" t="s">
        <v>105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</row>
    <row r="9" spans="1:26" x14ac:dyDescent="0.25">
      <c r="A9" t="s">
        <v>105</v>
      </c>
      <c r="B9" t="s">
        <v>105</v>
      </c>
      <c r="C9" t="s">
        <v>105</v>
      </c>
      <c r="D9" t="s">
        <v>105</v>
      </c>
      <c r="E9" t="s">
        <v>105</v>
      </c>
      <c r="F9" t="s">
        <v>105</v>
      </c>
      <c r="G9" t="s">
        <v>105</v>
      </c>
      <c r="H9" t="s">
        <v>105</v>
      </c>
      <c r="I9" t="s">
        <v>105</v>
      </c>
      <c r="J9" t="s">
        <v>105</v>
      </c>
      <c r="K9" t="s">
        <v>105</v>
      </c>
      <c r="L9" t="s">
        <v>105</v>
      </c>
      <c r="M9" t="s">
        <v>105</v>
      </c>
      <c r="N9" t="s">
        <v>105</v>
      </c>
      <c r="O9" t="s">
        <v>105</v>
      </c>
      <c r="P9" t="s">
        <v>105</v>
      </c>
      <c r="Q9" t="s">
        <v>105</v>
      </c>
      <c r="R9" t="s">
        <v>105</v>
      </c>
      <c r="S9" t="s">
        <v>105</v>
      </c>
      <c r="T9" t="s">
        <v>105</v>
      </c>
      <c r="U9" t="s">
        <v>105</v>
      </c>
      <c r="V9" t="s">
        <v>105</v>
      </c>
      <c r="W9" t="s">
        <v>105</v>
      </c>
      <c r="X9" t="s">
        <v>105</v>
      </c>
      <c r="Y9" t="s">
        <v>105</v>
      </c>
      <c r="Z9" t="s">
        <v>105</v>
      </c>
    </row>
    <row r="10" spans="1:26" x14ac:dyDescent="0.25">
      <c r="A10" t="s">
        <v>105</v>
      </c>
      <c r="B10" t="s">
        <v>105</v>
      </c>
      <c r="C10" t="s">
        <v>105</v>
      </c>
      <c r="D10" t="s">
        <v>105</v>
      </c>
      <c r="E10" t="s">
        <v>105</v>
      </c>
      <c r="F10" t="s">
        <v>105</v>
      </c>
      <c r="G10" t="s">
        <v>105</v>
      </c>
      <c r="H10" t="s">
        <v>105</v>
      </c>
      <c r="I10" t="s">
        <v>105</v>
      </c>
      <c r="J10" t="s">
        <v>105</v>
      </c>
      <c r="K10" t="s">
        <v>105</v>
      </c>
      <c r="L10" t="s">
        <v>105</v>
      </c>
      <c r="M10" t="s">
        <v>105</v>
      </c>
      <c r="N10" t="s">
        <v>105</v>
      </c>
      <c r="O10" t="s">
        <v>105</v>
      </c>
      <c r="P10" t="s">
        <v>105</v>
      </c>
      <c r="Q10" t="s">
        <v>105</v>
      </c>
      <c r="R10" t="s">
        <v>105</v>
      </c>
      <c r="S10" t="s">
        <v>105</v>
      </c>
      <c r="T10" t="s">
        <v>105</v>
      </c>
      <c r="U10" t="s">
        <v>105</v>
      </c>
      <c r="V10" t="s">
        <v>105</v>
      </c>
      <c r="W10" t="s">
        <v>105</v>
      </c>
      <c r="X10" t="s">
        <v>105</v>
      </c>
      <c r="Y10" t="s">
        <v>105</v>
      </c>
      <c r="Z10" t="s">
        <v>105</v>
      </c>
    </row>
    <row r="11" spans="1:26" x14ac:dyDescent="0.25">
      <c r="A11" t="s">
        <v>105</v>
      </c>
      <c r="B11" t="s">
        <v>105</v>
      </c>
      <c r="C11" t="s">
        <v>105</v>
      </c>
      <c r="D11" t="s">
        <v>105</v>
      </c>
      <c r="E11" t="s">
        <v>105</v>
      </c>
      <c r="F11" t="s">
        <v>105</v>
      </c>
      <c r="G11" t="s">
        <v>105</v>
      </c>
      <c r="H11" t="s">
        <v>105</v>
      </c>
      <c r="I11" t="s">
        <v>105</v>
      </c>
      <c r="J11" t="s">
        <v>105</v>
      </c>
      <c r="K11" t="s">
        <v>105</v>
      </c>
      <c r="L11" t="s">
        <v>105</v>
      </c>
      <c r="M11" t="s">
        <v>105</v>
      </c>
      <c r="N11" t="s">
        <v>105</v>
      </c>
      <c r="O11" t="s">
        <v>105</v>
      </c>
      <c r="P11" t="s">
        <v>105</v>
      </c>
      <c r="Q11" t="s">
        <v>105</v>
      </c>
      <c r="R11" t="s">
        <v>105</v>
      </c>
      <c r="S11" t="s">
        <v>105</v>
      </c>
      <c r="T11" t="s">
        <v>105</v>
      </c>
      <c r="U11" t="s">
        <v>105</v>
      </c>
      <c r="V11" t="s">
        <v>105</v>
      </c>
      <c r="W11" t="s">
        <v>105</v>
      </c>
      <c r="X11" t="s">
        <v>105</v>
      </c>
      <c r="Y11" t="s">
        <v>105</v>
      </c>
      <c r="Z11" t="s">
        <v>105</v>
      </c>
    </row>
    <row r="12" spans="1:26" x14ac:dyDescent="0.25">
      <c r="A12" t="s">
        <v>105</v>
      </c>
      <c r="B12" t="s">
        <v>105</v>
      </c>
      <c r="C12" t="s">
        <v>105</v>
      </c>
      <c r="D12" t="s">
        <v>105</v>
      </c>
      <c r="E12" t="s">
        <v>105</v>
      </c>
      <c r="F12" t="s">
        <v>105</v>
      </c>
      <c r="G12" t="s">
        <v>105</v>
      </c>
      <c r="H12" t="s">
        <v>105</v>
      </c>
      <c r="I12" t="s">
        <v>105</v>
      </c>
      <c r="J12" t="s">
        <v>105</v>
      </c>
      <c r="K12" t="s">
        <v>105</v>
      </c>
      <c r="L12" t="s">
        <v>105</v>
      </c>
      <c r="M12" t="s">
        <v>105</v>
      </c>
      <c r="N12" t="s">
        <v>105</v>
      </c>
      <c r="O12" t="s">
        <v>105</v>
      </c>
      <c r="P12" t="s">
        <v>105</v>
      </c>
      <c r="Q12" t="s">
        <v>105</v>
      </c>
      <c r="R12" t="s">
        <v>105</v>
      </c>
      <c r="S12" t="s">
        <v>105</v>
      </c>
      <c r="T12" t="s">
        <v>105</v>
      </c>
      <c r="U12" t="s">
        <v>105</v>
      </c>
      <c r="V12" t="s">
        <v>105</v>
      </c>
      <c r="W12" t="s">
        <v>105</v>
      </c>
      <c r="X12" t="s">
        <v>105</v>
      </c>
      <c r="Y12" t="s">
        <v>105</v>
      </c>
      <c r="Z12" t="s">
        <v>105</v>
      </c>
    </row>
    <row r="13" spans="1:26" x14ac:dyDescent="0.25">
      <c r="A13" t="s">
        <v>105</v>
      </c>
      <c r="B13" t="s">
        <v>105</v>
      </c>
      <c r="C13" t="s">
        <v>105</v>
      </c>
      <c r="D13" t="s">
        <v>105</v>
      </c>
      <c r="E13" t="s">
        <v>105</v>
      </c>
      <c r="F13" t="s">
        <v>105</v>
      </c>
      <c r="G13" t="s">
        <v>105</v>
      </c>
      <c r="H13" t="s">
        <v>105</v>
      </c>
      <c r="I13" t="s">
        <v>105</v>
      </c>
      <c r="J13" t="s">
        <v>105</v>
      </c>
      <c r="K13" t="s">
        <v>105</v>
      </c>
      <c r="L13" t="s">
        <v>105</v>
      </c>
      <c r="M13" t="s">
        <v>105</v>
      </c>
      <c r="N13" t="s">
        <v>105</v>
      </c>
      <c r="O13" t="s">
        <v>105</v>
      </c>
      <c r="P13" t="s">
        <v>105</v>
      </c>
      <c r="Q13" t="s">
        <v>105</v>
      </c>
      <c r="R13" t="s">
        <v>105</v>
      </c>
      <c r="S13" t="s">
        <v>105</v>
      </c>
      <c r="T13" t="s">
        <v>105</v>
      </c>
      <c r="U13" t="s">
        <v>105</v>
      </c>
      <c r="V13" t="s">
        <v>105</v>
      </c>
      <c r="W13" t="s">
        <v>105</v>
      </c>
      <c r="X13" t="s">
        <v>105</v>
      </c>
      <c r="Y13" t="s">
        <v>105</v>
      </c>
      <c r="Z13" t="s">
        <v>105</v>
      </c>
    </row>
    <row r="14" spans="1:26" x14ac:dyDescent="0.25">
      <c r="A14" t="s">
        <v>105</v>
      </c>
      <c r="B14" t="s">
        <v>105</v>
      </c>
      <c r="C14" t="s">
        <v>105</v>
      </c>
      <c r="D14" t="s">
        <v>105</v>
      </c>
      <c r="E14" t="s">
        <v>105</v>
      </c>
      <c r="F14" t="s">
        <v>105</v>
      </c>
      <c r="G14" t="s">
        <v>105</v>
      </c>
      <c r="H14" t="s">
        <v>105</v>
      </c>
      <c r="I14" t="s">
        <v>105</v>
      </c>
      <c r="J14" t="s">
        <v>105</v>
      </c>
      <c r="K14" t="s">
        <v>105</v>
      </c>
      <c r="L14" t="s">
        <v>105</v>
      </c>
      <c r="M14" t="s">
        <v>105</v>
      </c>
      <c r="N14" t="s">
        <v>105</v>
      </c>
      <c r="O14" t="s">
        <v>105</v>
      </c>
      <c r="P14" t="s">
        <v>105</v>
      </c>
      <c r="Q14" t="s">
        <v>105</v>
      </c>
      <c r="R14" t="s">
        <v>105</v>
      </c>
      <c r="S14" t="s">
        <v>105</v>
      </c>
      <c r="T14" t="s">
        <v>105</v>
      </c>
      <c r="U14" t="s">
        <v>105</v>
      </c>
      <c r="V14" t="s">
        <v>105</v>
      </c>
      <c r="W14" t="s">
        <v>105</v>
      </c>
      <c r="X14" t="s">
        <v>105</v>
      </c>
      <c r="Y14" t="s">
        <v>105</v>
      </c>
      <c r="Z14" t="s">
        <v>105</v>
      </c>
    </row>
    <row r="15" spans="1:26" x14ac:dyDescent="0.25">
      <c r="A15" t="s">
        <v>105</v>
      </c>
      <c r="B15" t="s">
        <v>105</v>
      </c>
      <c r="C15" t="s">
        <v>105</v>
      </c>
      <c r="D15" t="s">
        <v>105</v>
      </c>
      <c r="E15" t="s">
        <v>105</v>
      </c>
      <c r="F15" t="s">
        <v>105</v>
      </c>
      <c r="G15" t="s">
        <v>105</v>
      </c>
      <c r="H15" t="s">
        <v>105</v>
      </c>
      <c r="I15" t="s">
        <v>105</v>
      </c>
      <c r="J15" t="s">
        <v>105</v>
      </c>
      <c r="K15" t="s">
        <v>105</v>
      </c>
      <c r="L15" t="s">
        <v>105</v>
      </c>
      <c r="M15" t="s">
        <v>105</v>
      </c>
      <c r="N15" t="s">
        <v>105</v>
      </c>
      <c r="O15" t="s">
        <v>105</v>
      </c>
      <c r="P15" t="s">
        <v>105</v>
      </c>
      <c r="Q15" t="s">
        <v>105</v>
      </c>
      <c r="R15" t="s">
        <v>105</v>
      </c>
      <c r="S15" t="s">
        <v>105</v>
      </c>
      <c r="T15" t="s">
        <v>105</v>
      </c>
      <c r="U15" t="s">
        <v>105</v>
      </c>
      <c r="V15" t="s">
        <v>105</v>
      </c>
      <c r="W15" t="s">
        <v>105</v>
      </c>
      <c r="X15" t="s">
        <v>105</v>
      </c>
      <c r="Y15" t="s">
        <v>105</v>
      </c>
      <c r="Z15" t="s">
        <v>105</v>
      </c>
    </row>
    <row r="16" spans="1:26" x14ac:dyDescent="0.25">
      <c r="A16" t="s">
        <v>105</v>
      </c>
      <c r="B16" t="s">
        <v>105</v>
      </c>
      <c r="C16" t="s">
        <v>105</v>
      </c>
      <c r="D16" t="s">
        <v>105</v>
      </c>
      <c r="E16" t="s">
        <v>105</v>
      </c>
      <c r="F16" t="s">
        <v>105</v>
      </c>
      <c r="G16" t="s">
        <v>105</v>
      </c>
      <c r="H16" t="s">
        <v>105</v>
      </c>
      <c r="I16" t="s">
        <v>105</v>
      </c>
      <c r="J16" t="s">
        <v>105</v>
      </c>
      <c r="K16" t="s">
        <v>105</v>
      </c>
      <c r="L16" t="s">
        <v>105</v>
      </c>
      <c r="M16" t="s">
        <v>105</v>
      </c>
      <c r="N16" t="s">
        <v>105</v>
      </c>
      <c r="O16" t="s">
        <v>105</v>
      </c>
      <c r="P16" t="s">
        <v>105</v>
      </c>
      <c r="Q16" t="s">
        <v>105</v>
      </c>
      <c r="R16" t="s">
        <v>105</v>
      </c>
      <c r="S16" t="s">
        <v>105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105</v>
      </c>
      <c r="Z16" t="s">
        <v>105</v>
      </c>
    </row>
    <row r="17" spans="1:26" x14ac:dyDescent="0.25">
      <c r="A17" t="s">
        <v>105</v>
      </c>
      <c r="B17" t="s">
        <v>105</v>
      </c>
      <c r="C17" t="s">
        <v>105</v>
      </c>
      <c r="D17" t="s">
        <v>105</v>
      </c>
      <c r="E17" t="s">
        <v>105</v>
      </c>
      <c r="F17" t="s">
        <v>105</v>
      </c>
      <c r="G17" t="s">
        <v>105</v>
      </c>
      <c r="H17" t="s">
        <v>105</v>
      </c>
      <c r="I17" t="s">
        <v>105</v>
      </c>
      <c r="J17" t="s">
        <v>105</v>
      </c>
      <c r="K17" t="s">
        <v>105</v>
      </c>
      <c r="L17" t="s">
        <v>105</v>
      </c>
      <c r="M17" t="s">
        <v>105</v>
      </c>
      <c r="N17" t="s">
        <v>105</v>
      </c>
      <c r="O17" t="s">
        <v>105</v>
      </c>
      <c r="P17" t="s">
        <v>105</v>
      </c>
      <c r="Q17" t="s">
        <v>105</v>
      </c>
      <c r="R17" t="s">
        <v>105</v>
      </c>
      <c r="S17" t="s">
        <v>105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</row>
    <row r="18" spans="1:26" x14ac:dyDescent="0.25">
      <c r="A18" t="s">
        <v>105</v>
      </c>
      <c r="B18" t="s">
        <v>105</v>
      </c>
      <c r="C18" t="s">
        <v>105</v>
      </c>
      <c r="D18" t="s">
        <v>105</v>
      </c>
      <c r="E18" t="s">
        <v>105</v>
      </c>
      <c r="F18" t="s">
        <v>105</v>
      </c>
      <c r="G18" t="s">
        <v>105</v>
      </c>
      <c r="H18" t="s">
        <v>105</v>
      </c>
      <c r="I18" t="s">
        <v>105</v>
      </c>
      <c r="J18" t="s">
        <v>105</v>
      </c>
      <c r="K18" t="s">
        <v>105</v>
      </c>
      <c r="L18" t="s">
        <v>105</v>
      </c>
      <c r="M18" t="s">
        <v>105</v>
      </c>
      <c r="N18" t="s">
        <v>105</v>
      </c>
      <c r="O18" t="s">
        <v>105</v>
      </c>
      <c r="P18" t="s">
        <v>105</v>
      </c>
      <c r="Q18" t="s">
        <v>105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</row>
    <row r="19" spans="1:26" x14ac:dyDescent="0.25">
      <c r="A19" t="s">
        <v>105</v>
      </c>
      <c r="B19" t="s">
        <v>105</v>
      </c>
      <c r="C19" t="s">
        <v>105</v>
      </c>
      <c r="D19" t="s">
        <v>105</v>
      </c>
      <c r="E19" t="s">
        <v>105</v>
      </c>
      <c r="F19" t="s">
        <v>105</v>
      </c>
      <c r="G19" t="s">
        <v>105</v>
      </c>
      <c r="H19" t="s">
        <v>105</v>
      </c>
      <c r="I19" t="s">
        <v>105</v>
      </c>
      <c r="J19" t="s">
        <v>105</v>
      </c>
      <c r="K19" t="s">
        <v>105</v>
      </c>
      <c r="L19" t="s">
        <v>105</v>
      </c>
      <c r="M19" t="s">
        <v>105</v>
      </c>
      <c r="N19" t="s">
        <v>105</v>
      </c>
      <c r="O19" t="s">
        <v>105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 t="s">
        <v>105</v>
      </c>
    </row>
    <row r="20" spans="1:26" x14ac:dyDescent="0.25">
      <c r="A20" t="s">
        <v>105</v>
      </c>
      <c r="B20" t="s">
        <v>105</v>
      </c>
      <c r="C20" t="s">
        <v>105</v>
      </c>
      <c r="D20" t="s">
        <v>105</v>
      </c>
      <c r="E20" t="s">
        <v>105</v>
      </c>
      <c r="F20" t="s">
        <v>105</v>
      </c>
      <c r="G20" t="s">
        <v>105</v>
      </c>
      <c r="H20" t="s">
        <v>105</v>
      </c>
      <c r="I20" t="s">
        <v>105</v>
      </c>
      <c r="J20" t="s">
        <v>105</v>
      </c>
      <c r="K20" t="s">
        <v>105</v>
      </c>
      <c r="L20" t="s">
        <v>105</v>
      </c>
      <c r="M20" t="s">
        <v>105</v>
      </c>
      <c r="N20" t="s">
        <v>105</v>
      </c>
      <c r="O20" t="s">
        <v>105</v>
      </c>
      <c r="P20" t="s">
        <v>105</v>
      </c>
      <c r="Q20" t="s">
        <v>105</v>
      </c>
      <c r="R20" t="s">
        <v>105</v>
      </c>
      <c r="S20" t="s">
        <v>105</v>
      </c>
      <c r="T20" t="s">
        <v>105</v>
      </c>
      <c r="U20" t="s">
        <v>105</v>
      </c>
      <c r="V20" t="s">
        <v>105</v>
      </c>
      <c r="W20" t="s">
        <v>105</v>
      </c>
      <c r="X20" t="s">
        <v>105</v>
      </c>
      <c r="Y20" t="s">
        <v>105</v>
      </c>
      <c r="Z20" t="s">
        <v>105</v>
      </c>
    </row>
    <row r="21" spans="1:26" x14ac:dyDescent="0.25">
      <c r="A21" t="s">
        <v>105</v>
      </c>
      <c r="B21" t="s">
        <v>105</v>
      </c>
      <c r="C21" t="s">
        <v>105</v>
      </c>
      <c r="D21" t="s">
        <v>105</v>
      </c>
      <c r="E21" t="s">
        <v>105</v>
      </c>
      <c r="F21" t="s">
        <v>105</v>
      </c>
      <c r="G21" t="s">
        <v>105</v>
      </c>
      <c r="H21" t="s">
        <v>105</v>
      </c>
      <c r="I21" t="s">
        <v>105</v>
      </c>
      <c r="J21" t="s">
        <v>105</v>
      </c>
      <c r="K21" t="s">
        <v>105</v>
      </c>
      <c r="L21" t="s">
        <v>105</v>
      </c>
      <c r="M21" t="s">
        <v>105</v>
      </c>
      <c r="N21" t="s">
        <v>105</v>
      </c>
      <c r="O21" t="s">
        <v>105</v>
      </c>
      <c r="P21" t="s">
        <v>105</v>
      </c>
      <c r="Q21" t="s">
        <v>105</v>
      </c>
      <c r="R21" t="s">
        <v>105</v>
      </c>
      <c r="S21" t="s">
        <v>105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</row>
    <row r="22" spans="1:26" x14ac:dyDescent="0.25">
      <c r="A22" t="s">
        <v>105</v>
      </c>
      <c r="B22" t="s">
        <v>105</v>
      </c>
      <c r="C22" t="s">
        <v>105</v>
      </c>
      <c r="D22" t="s">
        <v>105</v>
      </c>
      <c r="E22" t="s">
        <v>105</v>
      </c>
      <c r="F22" t="s">
        <v>105</v>
      </c>
      <c r="G22" t="s">
        <v>105</v>
      </c>
      <c r="H22" t="s">
        <v>105</v>
      </c>
      <c r="I22" t="s">
        <v>105</v>
      </c>
      <c r="J22" t="s">
        <v>105</v>
      </c>
      <c r="K22" t="s">
        <v>105</v>
      </c>
      <c r="L22" t="s">
        <v>105</v>
      </c>
      <c r="M22" t="s">
        <v>105</v>
      </c>
      <c r="N22" t="s">
        <v>105</v>
      </c>
      <c r="O22" t="s">
        <v>105</v>
      </c>
      <c r="P22" t="s">
        <v>105</v>
      </c>
      <c r="Q22" t="s">
        <v>105</v>
      </c>
      <c r="R22" t="s">
        <v>105</v>
      </c>
      <c r="S22" t="s">
        <v>105</v>
      </c>
      <c r="T22" t="s">
        <v>105</v>
      </c>
      <c r="U22" t="s">
        <v>105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</row>
    <row r="23" spans="1:26" x14ac:dyDescent="0.25">
      <c r="A23" t="s">
        <v>105</v>
      </c>
      <c r="B23" t="s">
        <v>105</v>
      </c>
      <c r="C23" t="s">
        <v>105</v>
      </c>
      <c r="D23" t="s">
        <v>105</v>
      </c>
      <c r="E23" t="s">
        <v>105</v>
      </c>
      <c r="F23" t="s">
        <v>105</v>
      </c>
      <c r="G23" t="s">
        <v>105</v>
      </c>
      <c r="H23" t="s">
        <v>105</v>
      </c>
      <c r="I23" t="s">
        <v>105</v>
      </c>
      <c r="J23" t="s">
        <v>105</v>
      </c>
      <c r="K23" t="s">
        <v>105</v>
      </c>
      <c r="L23" t="s">
        <v>105</v>
      </c>
      <c r="M23" t="s">
        <v>105</v>
      </c>
      <c r="N23" t="s">
        <v>105</v>
      </c>
      <c r="O23" t="s">
        <v>105</v>
      </c>
      <c r="P23" t="s">
        <v>105</v>
      </c>
      <c r="Q23" t="s">
        <v>105</v>
      </c>
      <c r="R23" t="s">
        <v>105</v>
      </c>
      <c r="S23" t="s">
        <v>105</v>
      </c>
      <c r="T23" t="s">
        <v>105</v>
      </c>
      <c r="U23" t="s">
        <v>105</v>
      </c>
      <c r="V23" t="s">
        <v>105</v>
      </c>
      <c r="W23" t="s">
        <v>105</v>
      </c>
      <c r="X23" t="s">
        <v>105</v>
      </c>
      <c r="Y23" t="s">
        <v>105</v>
      </c>
      <c r="Z23" t="s">
        <v>105</v>
      </c>
    </row>
    <row r="24" spans="1:26" x14ac:dyDescent="0.25">
      <c r="A24" t="s">
        <v>105</v>
      </c>
      <c r="B24" t="s">
        <v>105</v>
      </c>
      <c r="C24" t="s">
        <v>105</v>
      </c>
      <c r="D24" t="s">
        <v>105</v>
      </c>
      <c r="E24" t="s">
        <v>105</v>
      </c>
      <c r="F24" t="s">
        <v>105</v>
      </c>
      <c r="G24" t="s">
        <v>105</v>
      </c>
      <c r="H24" t="s">
        <v>105</v>
      </c>
      <c r="I24" t="s">
        <v>105</v>
      </c>
      <c r="J24" t="s">
        <v>105</v>
      </c>
      <c r="K24" t="s">
        <v>105</v>
      </c>
      <c r="L24" t="s">
        <v>105</v>
      </c>
      <c r="M24" t="s">
        <v>105</v>
      </c>
      <c r="N24" t="s">
        <v>105</v>
      </c>
      <c r="O24" t="s">
        <v>105</v>
      </c>
      <c r="P24" t="s">
        <v>105</v>
      </c>
      <c r="Q24" t="s">
        <v>105</v>
      </c>
      <c r="R24" t="s">
        <v>105</v>
      </c>
      <c r="S24" t="s">
        <v>105</v>
      </c>
      <c r="T24" t="s">
        <v>105</v>
      </c>
      <c r="U24" t="s">
        <v>105</v>
      </c>
      <c r="V24" t="s">
        <v>105</v>
      </c>
      <c r="W24" t="s">
        <v>105</v>
      </c>
      <c r="X24" t="s">
        <v>105</v>
      </c>
      <c r="Y24" t="s">
        <v>105</v>
      </c>
      <c r="Z24" t="s">
        <v>105</v>
      </c>
    </row>
    <row r="25" spans="1:26" x14ac:dyDescent="0.25">
      <c r="A25" t="s">
        <v>105</v>
      </c>
      <c r="B25" t="s">
        <v>105</v>
      </c>
      <c r="C25" t="s">
        <v>105</v>
      </c>
      <c r="D25" t="s">
        <v>105</v>
      </c>
      <c r="E25" t="s">
        <v>105</v>
      </c>
      <c r="F25" t="s">
        <v>105</v>
      </c>
      <c r="G25" t="s">
        <v>105</v>
      </c>
      <c r="H25" t="s">
        <v>105</v>
      </c>
      <c r="I25" t="s">
        <v>105</v>
      </c>
      <c r="J25" t="s">
        <v>105</v>
      </c>
      <c r="K25" t="s">
        <v>105</v>
      </c>
      <c r="L25" t="s">
        <v>105</v>
      </c>
      <c r="M25" t="s">
        <v>105</v>
      </c>
      <c r="N25" t="s">
        <v>105</v>
      </c>
      <c r="O25" t="s">
        <v>105</v>
      </c>
      <c r="P25" t="s">
        <v>105</v>
      </c>
      <c r="Q25" t="s">
        <v>105</v>
      </c>
      <c r="R25" t="s">
        <v>105</v>
      </c>
      <c r="S25" t="s">
        <v>105</v>
      </c>
      <c r="T25" t="s">
        <v>105</v>
      </c>
      <c r="U25" t="s">
        <v>105</v>
      </c>
      <c r="V25" t="s">
        <v>105</v>
      </c>
      <c r="W25" t="s">
        <v>105</v>
      </c>
      <c r="X25" t="s">
        <v>105</v>
      </c>
      <c r="Y25" t="s">
        <v>105</v>
      </c>
      <c r="Z25" t="s">
        <v>105</v>
      </c>
    </row>
    <row r="26" spans="1:26" x14ac:dyDescent="0.25">
      <c r="A26" t="s">
        <v>105</v>
      </c>
      <c r="B26" t="s">
        <v>105</v>
      </c>
      <c r="C26" t="s">
        <v>105</v>
      </c>
      <c r="D26" t="s">
        <v>105</v>
      </c>
      <c r="E26" t="s">
        <v>105</v>
      </c>
      <c r="F26" t="s">
        <v>105</v>
      </c>
      <c r="G26" t="s">
        <v>105</v>
      </c>
      <c r="H26" t="s">
        <v>105</v>
      </c>
      <c r="I26" t="s">
        <v>105</v>
      </c>
      <c r="J26" t="s">
        <v>105</v>
      </c>
      <c r="K26" t="s">
        <v>105</v>
      </c>
      <c r="L26" t="s">
        <v>105</v>
      </c>
      <c r="M26" t="s">
        <v>105</v>
      </c>
      <c r="N26" t="s">
        <v>105</v>
      </c>
      <c r="O26" t="s">
        <v>105</v>
      </c>
      <c r="P26" t="s">
        <v>105</v>
      </c>
      <c r="Q26" t="s">
        <v>105</v>
      </c>
      <c r="R26" t="s">
        <v>105</v>
      </c>
      <c r="S26" t="s">
        <v>105</v>
      </c>
      <c r="T26" t="s">
        <v>105</v>
      </c>
      <c r="U26" t="s">
        <v>105</v>
      </c>
      <c r="V26" t="s">
        <v>105</v>
      </c>
      <c r="W26" t="s">
        <v>105</v>
      </c>
      <c r="X26" t="s">
        <v>105</v>
      </c>
      <c r="Y26" t="s">
        <v>105</v>
      </c>
      <c r="Z26" t="s">
        <v>105</v>
      </c>
    </row>
    <row r="27" spans="1:26" x14ac:dyDescent="0.25">
      <c r="A27" t="s">
        <v>105</v>
      </c>
      <c r="B27" t="s">
        <v>105</v>
      </c>
      <c r="C27" t="s">
        <v>105</v>
      </c>
      <c r="D27" t="s">
        <v>105</v>
      </c>
      <c r="E27" t="s">
        <v>105</v>
      </c>
      <c r="F27" t="s">
        <v>105</v>
      </c>
      <c r="G27" t="s">
        <v>105</v>
      </c>
      <c r="H27" t="s">
        <v>105</v>
      </c>
      <c r="I27" t="s">
        <v>105</v>
      </c>
      <c r="J27" t="s">
        <v>105</v>
      </c>
      <c r="K27" t="s">
        <v>105</v>
      </c>
      <c r="L27" t="s">
        <v>105</v>
      </c>
      <c r="M27" t="s">
        <v>105</v>
      </c>
      <c r="N27" t="s">
        <v>105</v>
      </c>
      <c r="O27" t="s">
        <v>105</v>
      </c>
      <c r="P27" t="s">
        <v>105</v>
      </c>
      <c r="Q27" t="s">
        <v>105</v>
      </c>
      <c r="R27" t="s">
        <v>105</v>
      </c>
      <c r="S27" t="s">
        <v>105</v>
      </c>
      <c r="T27" t="s">
        <v>105</v>
      </c>
      <c r="U27" t="s">
        <v>105</v>
      </c>
      <c r="V27" t="s">
        <v>105</v>
      </c>
      <c r="W27" t="s">
        <v>105</v>
      </c>
      <c r="X27" t="s">
        <v>105</v>
      </c>
      <c r="Y27" t="s">
        <v>105</v>
      </c>
      <c r="Z27" t="s">
        <v>105</v>
      </c>
    </row>
    <row r="28" spans="1:26" x14ac:dyDescent="0.25">
      <c r="A28" t="s">
        <v>105</v>
      </c>
      <c r="B28" t="s">
        <v>105</v>
      </c>
      <c r="C28" t="s">
        <v>105</v>
      </c>
      <c r="D28" t="s">
        <v>105</v>
      </c>
      <c r="E28" t="s">
        <v>105</v>
      </c>
      <c r="F28" t="s">
        <v>105</v>
      </c>
      <c r="G28" t="s">
        <v>105</v>
      </c>
      <c r="H28" t="s">
        <v>105</v>
      </c>
      <c r="I28" t="s">
        <v>105</v>
      </c>
      <c r="J28" t="s">
        <v>105</v>
      </c>
      <c r="K28" t="s">
        <v>105</v>
      </c>
      <c r="L28" t="s">
        <v>105</v>
      </c>
      <c r="M28" t="s">
        <v>105</v>
      </c>
      <c r="N28" t="s">
        <v>105</v>
      </c>
      <c r="O28" t="s">
        <v>105</v>
      </c>
      <c r="P28" t="s">
        <v>105</v>
      </c>
      <c r="Q28" t="s">
        <v>105</v>
      </c>
      <c r="R28" t="s">
        <v>105</v>
      </c>
      <c r="S28" t="s">
        <v>105</v>
      </c>
      <c r="T28" t="s">
        <v>105</v>
      </c>
      <c r="U28" t="s">
        <v>105</v>
      </c>
      <c r="V28" t="s">
        <v>105</v>
      </c>
      <c r="W28" t="s">
        <v>105</v>
      </c>
      <c r="X28" t="s">
        <v>105</v>
      </c>
      <c r="Y28" t="s">
        <v>105</v>
      </c>
      <c r="Z28" t="s">
        <v>105</v>
      </c>
    </row>
    <row r="29" spans="1:26" x14ac:dyDescent="0.25">
      <c r="A29" t="s">
        <v>105</v>
      </c>
      <c r="B29" t="s">
        <v>105</v>
      </c>
      <c r="C29" t="s">
        <v>105</v>
      </c>
      <c r="D29" t="s">
        <v>105</v>
      </c>
      <c r="E29" t="s">
        <v>105</v>
      </c>
      <c r="F29" t="s">
        <v>105</v>
      </c>
      <c r="G29" t="s">
        <v>105</v>
      </c>
      <c r="H29" t="s">
        <v>105</v>
      </c>
      <c r="I29" t="s">
        <v>105</v>
      </c>
      <c r="J29" t="s">
        <v>105</v>
      </c>
      <c r="K29" t="s">
        <v>105</v>
      </c>
      <c r="L29" t="s">
        <v>105</v>
      </c>
      <c r="M29" t="s">
        <v>105</v>
      </c>
      <c r="N29" t="s">
        <v>105</v>
      </c>
      <c r="O29" t="s">
        <v>105</v>
      </c>
      <c r="P29" t="s">
        <v>105</v>
      </c>
      <c r="Q29" t="s">
        <v>105</v>
      </c>
      <c r="R29" t="s">
        <v>105</v>
      </c>
      <c r="S29" t="s">
        <v>105</v>
      </c>
      <c r="T29" t="s">
        <v>105</v>
      </c>
      <c r="U29" t="s">
        <v>105</v>
      </c>
      <c r="V29" t="s">
        <v>105</v>
      </c>
      <c r="W29" t="s">
        <v>105</v>
      </c>
      <c r="X29" t="s">
        <v>105</v>
      </c>
      <c r="Y29" t="s">
        <v>105</v>
      </c>
      <c r="Z29" t="s">
        <v>105</v>
      </c>
    </row>
    <row r="30" spans="1:26" x14ac:dyDescent="0.25">
      <c r="A30" t="s">
        <v>105</v>
      </c>
      <c r="B30" t="s">
        <v>105</v>
      </c>
      <c r="C30" t="s">
        <v>105</v>
      </c>
      <c r="D30" t="s">
        <v>105</v>
      </c>
      <c r="E30" t="s">
        <v>105</v>
      </c>
      <c r="F30" t="s">
        <v>105</v>
      </c>
      <c r="G30" t="s">
        <v>105</v>
      </c>
      <c r="H30" t="s">
        <v>105</v>
      </c>
      <c r="I30" t="s">
        <v>105</v>
      </c>
      <c r="J30" t="s">
        <v>105</v>
      </c>
      <c r="K30" t="s">
        <v>105</v>
      </c>
      <c r="L30" t="s">
        <v>105</v>
      </c>
      <c r="M30" t="s">
        <v>105</v>
      </c>
      <c r="N30" t="s">
        <v>105</v>
      </c>
      <c r="O30" t="s">
        <v>105</v>
      </c>
      <c r="P30" t="s">
        <v>105</v>
      </c>
      <c r="Q30" t="s">
        <v>105</v>
      </c>
      <c r="R30" t="s">
        <v>105</v>
      </c>
      <c r="S30" t="s">
        <v>105</v>
      </c>
      <c r="T30" t="s">
        <v>105</v>
      </c>
      <c r="U30" t="s">
        <v>105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</row>
    <row r="31" spans="1:26" x14ac:dyDescent="0.25">
      <c r="A31" t="s">
        <v>105</v>
      </c>
      <c r="B31" t="s">
        <v>105</v>
      </c>
      <c r="C31" t="s">
        <v>105</v>
      </c>
      <c r="D31" t="s">
        <v>105</v>
      </c>
      <c r="E31" t="s">
        <v>105</v>
      </c>
      <c r="F31" t="s">
        <v>105</v>
      </c>
      <c r="G31" t="s">
        <v>105</v>
      </c>
      <c r="H31" t="s">
        <v>105</v>
      </c>
      <c r="I31" t="s">
        <v>105</v>
      </c>
      <c r="J31" t="s">
        <v>105</v>
      </c>
      <c r="K31" t="s">
        <v>105</v>
      </c>
      <c r="L31" t="s">
        <v>105</v>
      </c>
      <c r="M31" t="s">
        <v>105</v>
      </c>
      <c r="N31" t="s">
        <v>105</v>
      </c>
      <c r="O31" t="s">
        <v>105</v>
      </c>
      <c r="P31" t="s">
        <v>105</v>
      </c>
      <c r="Q31" t="s">
        <v>105</v>
      </c>
      <c r="R31" t="s">
        <v>105</v>
      </c>
      <c r="S31" t="s">
        <v>105</v>
      </c>
      <c r="T31" t="s">
        <v>105</v>
      </c>
      <c r="U31" t="s">
        <v>105</v>
      </c>
      <c r="V31" t="s">
        <v>105</v>
      </c>
      <c r="W31" t="s">
        <v>105</v>
      </c>
      <c r="X31" t="s">
        <v>105</v>
      </c>
      <c r="Y31" t="s">
        <v>105</v>
      </c>
      <c r="Z31" t="s">
        <v>105</v>
      </c>
    </row>
    <row r="32" spans="1:26" x14ac:dyDescent="0.25">
      <c r="A32" t="s">
        <v>105</v>
      </c>
      <c r="B32" t="s">
        <v>105</v>
      </c>
      <c r="C32" t="s">
        <v>105</v>
      </c>
      <c r="D32" t="s">
        <v>105</v>
      </c>
      <c r="E32" t="s">
        <v>105</v>
      </c>
      <c r="F32" t="s">
        <v>105</v>
      </c>
      <c r="G32" t="s">
        <v>105</v>
      </c>
      <c r="H32" t="s">
        <v>105</v>
      </c>
      <c r="I32" t="s">
        <v>105</v>
      </c>
      <c r="J32" t="s">
        <v>105</v>
      </c>
      <c r="K32" t="s">
        <v>105</v>
      </c>
      <c r="L32" t="s">
        <v>105</v>
      </c>
      <c r="M32" t="s">
        <v>105</v>
      </c>
      <c r="N32" t="s">
        <v>105</v>
      </c>
      <c r="O32" t="s">
        <v>105</v>
      </c>
      <c r="P32" t="s">
        <v>105</v>
      </c>
      <c r="Q32" t="s">
        <v>105</v>
      </c>
      <c r="R32" t="s">
        <v>105</v>
      </c>
      <c r="S32" t="s">
        <v>105</v>
      </c>
      <c r="T32" t="s">
        <v>105</v>
      </c>
      <c r="U32" t="s">
        <v>105</v>
      </c>
      <c r="V32" t="s">
        <v>105</v>
      </c>
      <c r="W32" t="s">
        <v>105</v>
      </c>
      <c r="X32" t="s">
        <v>105</v>
      </c>
      <c r="Y32" t="s">
        <v>105</v>
      </c>
      <c r="Z32" t="s">
        <v>105</v>
      </c>
    </row>
    <row r="33" spans="1:26" x14ac:dyDescent="0.25">
      <c r="A33" t="s">
        <v>105</v>
      </c>
      <c r="B33" t="s">
        <v>105</v>
      </c>
      <c r="C33" t="s">
        <v>105</v>
      </c>
      <c r="D33" t="s">
        <v>105</v>
      </c>
      <c r="E33" t="s">
        <v>105</v>
      </c>
      <c r="F33" t="s">
        <v>105</v>
      </c>
      <c r="G33" t="s">
        <v>105</v>
      </c>
      <c r="H33" t="s">
        <v>105</v>
      </c>
      <c r="I33" t="s">
        <v>105</v>
      </c>
      <c r="J33" t="s">
        <v>105</v>
      </c>
      <c r="K33" t="s">
        <v>105</v>
      </c>
      <c r="L33" t="s">
        <v>105</v>
      </c>
      <c r="M33" t="s">
        <v>105</v>
      </c>
      <c r="N33" t="s">
        <v>105</v>
      </c>
      <c r="O33" t="s">
        <v>105</v>
      </c>
      <c r="P33" t="s">
        <v>105</v>
      </c>
      <c r="Q33" t="s">
        <v>105</v>
      </c>
      <c r="R33" t="s">
        <v>105</v>
      </c>
      <c r="S33" t="s">
        <v>105</v>
      </c>
      <c r="T33" t="s">
        <v>105</v>
      </c>
      <c r="U33" t="s">
        <v>105</v>
      </c>
      <c r="V33" t="s">
        <v>105</v>
      </c>
      <c r="W33" t="s">
        <v>105</v>
      </c>
      <c r="X33" t="s">
        <v>105</v>
      </c>
      <c r="Y33" t="s">
        <v>105</v>
      </c>
      <c r="Z33" t="s">
        <v>105</v>
      </c>
    </row>
    <row r="34" spans="1:26" x14ac:dyDescent="0.25">
      <c r="A34" t="s">
        <v>105</v>
      </c>
      <c r="B34" t="s">
        <v>105</v>
      </c>
      <c r="C34" t="s">
        <v>105</v>
      </c>
      <c r="D34" t="s">
        <v>105</v>
      </c>
      <c r="E34" t="s">
        <v>105</v>
      </c>
      <c r="F34" t="s">
        <v>105</v>
      </c>
      <c r="G34" t="s">
        <v>105</v>
      </c>
      <c r="H34" t="s">
        <v>105</v>
      </c>
      <c r="I34" t="s">
        <v>105</v>
      </c>
      <c r="J34" t="s">
        <v>105</v>
      </c>
      <c r="K34" t="s">
        <v>105</v>
      </c>
      <c r="L34" t="s">
        <v>105</v>
      </c>
      <c r="M34" t="s">
        <v>105</v>
      </c>
      <c r="N34" t="s">
        <v>105</v>
      </c>
      <c r="O34" t="s">
        <v>105</v>
      </c>
      <c r="P34" t="s">
        <v>105</v>
      </c>
      <c r="Q34" t="s">
        <v>105</v>
      </c>
      <c r="R34" t="s">
        <v>105</v>
      </c>
      <c r="S34" t="s">
        <v>105</v>
      </c>
      <c r="T34" t="s">
        <v>105</v>
      </c>
      <c r="U34" t="s">
        <v>105</v>
      </c>
      <c r="V34" t="s">
        <v>105</v>
      </c>
      <c r="W34" t="s">
        <v>105</v>
      </c>
      <c r="X34" t="s">
        <v>105</v>
      </c>
      <c r="Y34" t="s">
        <v>105</v>
      </c>
      <c r="Z34" t="s">
        <v>105</v>
      </c>
    </row>
    <row r="35" spans="1:26" x14ac:dyDescent="0.25">
      <c r="A35" t="s">
        <v>105</v>
      </c>
      <c r="B35" t="s">
        <v>105</v>
      </c>
      <c r="C35" t="s">
        <v>105</v>
      </c>
      <c r="D35" t="s">
        <v>105</v>
      </c>
      <c r="E35" t="s">
        <v>105</v>
      </c>
      <c r="F35" t="s">
        <v>105</v>
      </c>
      <c r="G35" t="s">
        <v>105</v>
      </c>
      <c r="H35" t="s">
        <v>105</v>
      </c>
      <c r="I35" t="s">
        <v>105</v>
      </c>
      <c r="J35" t="s">
        <v>105</v>
      </c>
      <c r="K35" t="s">
        <v>105</v>
      </c>
      <c r="L35" t="s">
        <v>105</v>
      </c>
      <c r="M35" t="s">
        <v>105</v>
      </c>
      <c r="N35" t="s">
        <v>105</v>
      </c>
      <c r="O35" t="s">
        <v>105</v>
      </c>
      <c r="P35" t="s">
        <v>105</v>
      </c>
      <c r="Q35" t="s">
        <v>105</v>
      </c>
      <c r="R35" t="s">
        <v>105</v>
      </c>
      <c r="S35" t="s">
        <v>105</v>
      </c>
      <c r="T35" t="s">
        <v>105</v>
      </c>
      <c r="U35" t="s">
        <v>105</v>
      </c>
      <c r="V35" t="s">
        <v>105</v>
      </c>
      <c r="W35" t="s">
        <v>105</v>
      </c>
      <c r="X35" t="s">
        <v>105</v>
      </c>
      <c r="Y35" t="s">
        <v>105</v>
      </c>
      <c r="Z35" t="s">
        <v>105</v>
      </c>
    </row>
    <row r="36" spans="1:26" x14ac:dyDescent="0.25">
      <c r="A36" t="s">
        <v>105</v>
      </c>
      <c r="B36" t="s">
        <v>105</v>
      </c>
      <c r="C36" t="s">
        <v>105</v>
      </c>
      <c r="D36" t="s">
        <v>105</v>
      </c>
      <c r="E36" t="s">
        <v>105</v>
      </c>
      <c r="F36" t="s">
        <v>105</v>
      </c>
      <c r="G36" t="s">
        <v>105</v>
      </c>
      <c r="H36" t="s">
        <v>105</v>
      </c>
      <c r="I36" t="s">
        <v>105</v>
      </c>
      <c r="J36" t="s">
        <v>105</v>
      </c>
      <c r="K36" t="s">
        <v>105</v>
      </c>
      <c r="L36" t="s">
        <v>105</v>
      </c>
      <c r="M36" t="s">
        <v>105</v>
      </c>
      <c r="N36" t="s">
        <v>105</v>
      </c>
      <c r="O36" t="s">
        <v>105</v>
      </c>
      <c r="P36" t="s">
        <v>105</v>
      </c>
      <c r="Q36" t="s">
        <v>105</v>
      </c>
      <c r="R36" t="s">
        <v>105</v>
      </c>
      <c r="S36" t="s">
        <v>105</v>
      </c>
      <c r="T36" t="s">
        <v>105</v>
      </c>
      <c r="U36" t="s">
        <v>105</v>
      </c>
      <c r="V36" t="s">
        <v>105</v>
      </c>
      <c r="W36" t="s">
        <v>105</v>
      </c>
      <c r="X36" t="s">
        <v>105</v>
      </c>
      <c r="Y36" t="s">
        <v>105</v>
      </c>
      <c r="Z36" t="s">
        <v>105</v>
      </c>
    </row>
    <row r="37" spans="1:26" x14ac:dyDescent="0.25">
      <c r="A37" t="s">
        <v>105</v>
      </c>
      <c r="B37" t="s">
        <v>105</v>
      </c>
      <c r="C37" t="s">
        <v>105</v>
      </c>
      <c r="D37" t="s">
        <v>105</v>
      </c>
      <c r="E37" t="s">
        <v>105</v>
      </c>
      <c r="F37" t="s">
        <v>105</v>
      </c>
      <c r="G37" t="s">
        <v>105</v>
      </c>
      <c r="H37" t="s">
        <v>105</v>
      </c>
      <c r="I37" t="s">
        <v>105</v>
      </c>
      <c r="J37" t="s">
        <v>105</v>
      </c>
      <c r="K37" t="s">
        <v>105</v>
      </c>
      <c r="L37" t="s">
        <v>105</v>
      </c>
      <c r="M37" t="s">
        <v>105</v>
      </c>
      <c r="N37" t="s">
        <v>105</v>
      </c>
      <c r="O37" t="s">
        <v>105</v>
      </c>
      <c r="P37" t="s">
        <v>105</v>
      </c>
      <c r="Q37" t="s">
        <v>105</v>
      </c>
      <c r="R37" t="s">
        <v>105</v>
      </c>
      <c r="S37" t="s">
        <v>105</v>
      </c>
      <c r="T37" t="s">
        <v>105</v>
      </c>
      <c r="U37" t="s">
        <v>105</v>
      </c>
      <c r="V37" t="s">
        <v>105</v>
      </c>
      <c r="W37" t="s">
        <v>105</v>
      </c>
      <c r="X37" t="s">
        <v>105</v>
      </c>
      <c r="Y37" t="s">
        <v>105</v>
      </c>
      <c r="Z37" t="s">
        <v>105</v>
      </c>
    </row>
    <row r="38" spans="1:26" x14ac:dyDescent="0.25">
      <c r="A38" t="s">
        <v>105</v>
      </c>
      <c r="B38" t="s">
        <v>105</v>
      </c>
      <c r="C38" t="s">
        <v>105</v>
      </c>
      <c r="D38" t="s">
        <v>105</v>
      </c>
      <c r="E38" t="s">
        <v>105</v>
      </c>
      <c r="F38" t="s">
        <v>105</v>
      </c>
      <c r="G38" t="s">
        <v>105</v>
      </c>
      <c r="H38" t="s">
        <v>105</v>
      </c>
      <c r="I38" t="s">
        <v>105</v>
      </c>
      <c r="J38" t="s">
        <v>105</v>
      </c>
      <c r="K38" t="s">
        <v>105</v>
      </c>
      <c r="L38" t="s">
        <v>105</v>
      </c>
      <c r="M38" t="s">
        <v>105</v>
      </c>
      <c r="N38" t="s">
        <v>105</v>
      </c>
      <c r="O38" t="s">
        <v>105</v>
      </c>
      <c r="P38" t="s">
        <v>105</v>
      </c>
      <c r="Q38" t="s">
        <v>105</v>
      </c>
      <c r="R38" t="s">
        <v>105</v>
      </c>
      <c r="S38" t="s">
        <v>105</v>
      </c>
      <c r="T38" t="s">
        <v>105</v>
      </c>
      <c r="U38" t="s">
        <v>105</v>
      </c>
      <c r="V38" t="s">
        <v>105</v>
      </c>
      <c r="W38" t="s">
        <v>105</v>
      </c>
      <c r="X38" t="s">
        <v>105</v>
      </c>
      <c r="Y38" t="s">
        <v>105</v>
      </c>
      <c r="Z38" t="s">
        <v>105</v>
      </c>
    </row>
    <row r="39" spans="1:26" x14ac:dyDescent="0.25">
      <c r="A39" t="s">
        <v>105</v>
      </c>
      <c r="B39" t="s">
        <v>105</v>
      </c>
      <c r="C39" t="s">
        <v>105</v>
      </c>
      <c r="D39" t="s">
        <v>105</v>
      </c>
      <c r="E39" t="s">
        <v>105</v>
      </c>
      <c r="F39" t="s">
        <v>105</v>
      </c>
      <c r="G39" t="s">
        <v>105</v>
      </c>
      <c r="H39" t="s">
        <v>105</v>
      </c>
      <c r="I39" t="s">
        <v>105</v>
      </c>
      <c r="J39" t="s">
        <v>105</v>
      </c>
      <c r="K39" t="s">
        <v>105</v>
      </c>
      <c r="L39" t="s">
        <v>105</v>
      </c>
      <c r="M39" t="s">
        <v>105</v>
      </c>
      <c r="N39" t="s">
        <v>105</v>
      </c>
      <c r="O39" t="s">
        <v>105</v>
      </c>
      <c r="P39" t="s">
        <v>105</v>
      </c>
      <c r="Q39" t="s">
        <v>105</v>
      </c>
      <c r="R39" t="s">
        <v>105</v>
      </c>
      <c r="S39" t="s">
        <v>105</v>
      </c>
      <c r="T39" t="s">
        <v>105</v>
      </c>
      <c r="U39" t="s">
        <v>105</v>
      </c>
      <c r="V39" t="s">
        <v>105</v>
      </c>
      <c r="W39" t="s">
        <v>105</v>
      </c>
      <c r="X39" t="s">
        <v>105</v>
      </c>
      <c r="Y39" t="s">
        <v>105</v>
      </c>
      <c r="Z39" t="s">
        <v>105</v>
      </c>
    </row>
    <row r="40" spans="1:26" x14ac:dyDescent="0.25">
      <c r="A40" t="s">
        <v>105</v>
      </c>
      <c r="B40" t="s">
        <v>105</v>
      </c>
      <c r="C40" t="s">
        <v>105</v>
      </c>
      <c r="D40" t="s">
        <v>105</v>
      </c>
      <c r="E40" t="s">
        <v>105</v>
      </c>
      <c r="F40" t="s">
        <v>105</v>
      </c>
      <c r="G40" t="s">
        <v>105</v>
      </c>
      <c r="H40" t="s">
        <v>105</v>
      </c>
      <c r="I40" t="s">
        <v>105</v>
      </c>
      <c r="J40" t="s">
        <v>105</v>
      </c>
      <c r="K40" t="s">
        <v>105</v>
      </c>
      <c r="L40" t="s">
        <v>105</v>
      </c>
      <c r="M40" t="s">
        <v>105</v>
      </c>
      <c r="N40" t="s">
        <v>105</v>
      </c>
      <c r="O40" t="s">
        <v>105</v>
      </c>
      <c r="P40" t="s">
        <v>105</v>
      </c>
      <c r="Q40" t="s">
        <v>105</v>
      </c>
      <c r="R40" t="s">
        <v>105</v>
      </c>
      <c r="S40" t="s">
        <v>105</v>
      </c>
      <c r="T40" t="s">
        <v>105</v>
      </c>
      <c r="U40" t="s">
        <v>105</v>
      </c>
      <c r="V40" t="s">
        <v>105</v>
      </c>
      <c r="W40" t="s">
        <v>105</v>
      </c>
      <c r="X40" t="s">
        <v>105</v>
      </c>
      <c r="Y40" t="s">
        <v>105</v>
      </c>
      <c r="Z40" t="s">
        <v>105</v>
      </c>
    </row>
    <row r="41" spans="1:26" x14ac:dyDescent="0.25">
      <c r="A41" t="s">
        <v>105</v>
      </c>
      <c r="B41" t="s">
        <v>105</v>
      </c>
      <c r="C41" t="s">
        <v>105</v>
      </c>
      <c r="D41" t="s">
        <v>105</v>
      </c>
      <c r="E41" t="s">
        <v>105</v>
      </c>
      <c r="F41" t="s">
        <v>105</v>
      </c>
      <c r="G41" t="s">
        <v>105</v>
      </c>
      <c r="H41" t="s">
        <v>105</v>
      </c>
      <c r="I41" t="s">
        <v>105</v>
      </c>
      <c r="J41" t="s">
        <v>105</v>
      </c>
      <c r="K41" t="s">
        <v>105</v>
      </c>
      <c r="L41" t="s">
        <v>105</v>
      </c>
      <c r="M41" t="s">
        <v>105</v>
      </c>
      <c r="N41" t="s">
        <v>105</v>
      </c>
      <c r="O41" t="s">
        <v>105</v>
      </c>
      <c r="P41" t="s">
        <v>105</v>
      </c>
      <c r="Q41" t="s">
        <v>105</v>
      </c>
      <c r="R41" t="s">
        <v>105</v>
      </c>
      <c r="S41" t="s">
        <v>105</v>
      </c>
      <c r="T41" t="s">
        <v>105</v>
      </c>
      <c r="U41" t="s">
        <v>105</v>
      </c>
      <c r="V41" t="s">
        <v>105</v>
      </c>
      <c r="W41" t="s">
        <v>105</v>
      </c>
      <c r="X41" t="s">
        <v>105</v>
      </c>
      <c r="Y41" t="s">
        <v>105</v>
      </c>
      <c r="Z41" t="s">
        <v>105</v>
      </c>
    </row>
    <row r="42" spans="1:26" x14ac:dyDescent="0.25">
      <c r="A42" t="s">
        <v>105</v>
      </c>
      <c r="B42" t="s">
        <v>105</v>
      </c>
      <c r="C42" t="s">
        <v>105</v>
      </c>
      <c r="D42" t="s">
        <v>105</v>
      </c>
      <c r="E42" t="s">
        <v>105</v>
      </c>
      <c r="F42" t="s">
        <v>105</v>
      </c>
      <c r="G42" t="s">
        <v>105</v>
      </c>
      <c r="H42" t="s">
        <v>105</v>
      </c>
      <c r="I42" t="s">
        <v>105</v>
      </c>
      <c r="J42" t="s">
        <v>105</v>
      </c>
      <c r="K42" t="s">
        <v>105</v>
      </c>
      <c r="L42" t="s">
        <v>105</v>
      </c>
      <c r="M42" t="s">
        <v>105</v>
      </c>
      <c r="N42" t="s">
        <v>105</v>
      </c>
      <c r="O42" t="s">
        <v>105</v>
      </c>
      <c r="P42" t="s">
        <v>105</v>
      </c>
      <c r="Q42" t="s">
        <v>105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105</v>
      </c>
      <c r="Z42" t="s">
        <v>105</v>
      </c>
    </row>
    <row r="43" spans="1:26" x14ac:dyDescent="0.25">
      <c r="A43" t="s">
        <v>105</v>
      </c>
      <c r="B43" t="s">
        <v>105</v>
      </c>
      <c r="C43" t="s">
        <v>105</v>
      </c>
      <c r="D43" t="s">
        <v>105</v>
      </c>
      <c r="E43" t="s">
        <v>105</v>
      </c>
      <c r="F43" t="s">
        <v>105</v>
      </c>
      <c r="G43" t="s">
        <v>105</v>
      </c>
      <c r="H43" t="s">
        <v>105</v>
      </c>
      <c r="I43" t="s">
        <v>105</v>
      </c>
      <c r="J43" t="s">
        <v>105</v>
      </c>
      <c r="K43" t="s">
        <v>105</v>
      </c>
      <c r="L43" t="s">
        <v>105</v>
      </c>
      <c r="M43" t="s">
        <v>105</v>
      </c>
      <c r="N43" t="s">
        <v>105</v>
      </c>
      <c r="O43" t="s">
        <v>105</v>
      </c>
      <c r="P43" t="s">
        <v>105</v>
      </c>
      <c r="Q43" t="s">
        <v>105</v>
      </c>
      <c r="R43" t="s">
        <v>105</v>
      </c>
      <c r="S43" t="s">
        <v>105</v>
      </c>
      <c r="T43" t="s">
        <v>105</v>
      </c>
      <c r="U43" t="s">
        <v>105</v>
      </c>
      <c r="V43" t="s">
        <v>105</v>
      </c>
      <c r="W43" t="s">
        <v>105</v>
      </c>
      <c r="X43" t="s">
        <v>105</v>
      </c>
      <c r="Y43" t="s">
        <v>105</v>
      </c>
      <c r="Z43" t="s">
        <v>105</v>
      </c>
    </row>
    <row r="44" spans="1:26" x14ac:dyDescent="0.25">
      <c r="A44" t="s">
        <v>105</v>
      </c>
      <c r="B44" t="s">
        <v>105</v>
      </c>
      <c r="C44" t="s">
        <v>105</v>
      </c>
      <c r="D44" t="s">
        <v>105</v>
      </c>
      <c r="E44" t="s">
        <v>105</v>
      </c>
      <c r="F44" t="s">
        <v>105</v>
      </c>
      <c r="G44" t="s">
        <v>105</v>
      </c>
      <c r="H44" t="s">
        <v>105</v>
      </c>
      <c r="I44" t="s">
        <v>105</v>
      </c>
      <c r="J44" t="s">
        <v>105</v>
      </c>
      <c r="K44" t="s">
        <v>105</v>
      </c>
      <c r="L44" t="s">
        <v>105</v>
      </c>
      <c r="M44" t="s">
        <v>105</v>
      </c>
      <c r="N44" t="s">
        <v>105</v>
      </c>
      <c r="O44" t="s">
        <v>105</v>
      </c>
      <c r="P44" t="s">
        <v>105</v>
      </c>
      <c r="Q44" t="s">
        <v>105</v>
      </c>
      <c r="R44" t="s">
        <v>105</v>
      </c>
      <c r="S44" t="s">
        <v>105</v>
      </c>
      <c r="T44" t="s">
        <v>105</v>
      </c>
      <c r="U44" t="s">
        <v>105</v>
      </c>
      <c r="V44" t="s">
        <v>105</v>
      </c>
      <c r="W44" t="s">
        <v>105</v>
      </c>
      <c r="X44" t="s">
        <v>105</v>
      </c>
      <c r="Y44" t="s">
        <v>105</v>
      </c>
      <c r="Z44" t="s">
        <v>105</v>
      </c>
    </row>
    <row r="45" spans="1:26" x14ac:dyDescent="0.25">
      <c r="A45" t="s">
        <v>105</v>
      </c>
      <c r="B45" t="s">
        <v>105</v>
      </c>
      <c r="C45" t="s">
        <v>105</v>
      </c>
      <c r="D45" t="s">
        <v>105</v>
      </c>
      <c r="E45" t="s">
        <v>105</v>
      </c>
      <c r="F45" t="s">
        <v>105</v>
      </c>
      <c r="G45" t="s">
        <v>105</v>
      </c>
      <c r="H45" t="s">
        <v>105</v>
      </c>
      <c r="I45" t="s">
        <v>105</v>
      </c>
      <c r="J45" t="s">
        <v>105</v>
      </c>
      <c r="K45" t="s">
        <v>105</v>
      </c>
      <c r="L45" t="s">
        <v>105</v>
      </c>
      <c r="M45" t="s">
        <v>105</v>
      </c>
      <c r="N45" t="s">
        <v>105</v>
      </c>
      <c r="O45" t="s">
        <v>105</v>
      </c>
      <c r="P45" t="s">
        <v>105</v>
      </c>
      <c r="Q45" t="s">
        <v>105</v>
      </c>
      <c r="R45" t="s">
        <v>105</v>
      </c>
      <c r="S45" t="s">
        <v>105</v>
      </c>
      <c r="T45" t="s">
        <v>105</v>
      </c>
      <c r="U45" t="s">
        <v>105</v>
      </c>
      <c r="V45" t="s">
        <v>105</v>
      </c>
      <c r="W45" t="s">
        <v>105</v>
      </c>
      <c r="X45" t="s">
        <v>105</v>
      </c>
      <c r="Y45" t="s">
        <v>105</v>
      </c>
      <c r="Z45" t="s">
        <v>105</v>
      </c>
    </row>
    <row r="46" spans="1:26" x14ac:dyDescent="0.25">
      <c r="A46" t="s">
        <v>105</v>
      </c>
      <c r="B46" t="s">
        <v>105</v>
      </c>
      <c r="C46" t="s">
        <v>105</v>
      </c>
      <c r="D46" t="s">
        <v>105</v>
      </c>
      <c r="E46" t="s">
        <v>105</v>
      </c>
      <c r="F46" t="s">
        <v>105</v>
      </c>
      <c r="G46" t="s">
        <v>105</v>
      </c>
      <c r="H46" t="s">
        <v>105</v>
      </c>
      <c r="I46" t="s">
        <v>105</v>
      </c>
      <c r="J46" t="s">
        <v>105</v>
      </c>
      <c r="K46" t="s">
        <v>105</v>
      </c>
      <c r="L46" t="s">
        <v>105</v>
      </c>
      <c r="M46" t="s">
        <v>105</v>
      </c>
      <c r="N46" t="s">
        <v>105</v>
      </c>
      <c r="O46" t="s">
        <v>105</v>
      </c>
      <c r="P46" t="s">
        <v>105</v>
      </c>
      <c r="Q46" t="s">
        <v>105</v>
      </c>
      <c r="R46" t="s">
        <v>105</v>
      </c>
      <c r="S46" t="s">
        <v>105</v>
      </c>
      <c r="T46" t="s">
        <v>105</v>
      </c>
      <c r="U46" t="s">
        <v>105</v>
      </c>
      <c r="V46" t="s">
        <v>105</v>
      </c>
      <c r="W46" t="s">
        <v>105</v>
      </c>
      <c r="X46" t="s">
        <v>105</v>
      </c>
      <c r="Y46" t="s">
        <v>105</v>
      </c>
      <c r="Z46" t="s">
        <v>105</v>
      </c>
    </row>
    <row r="47" spans="1:26" x14ac:dyDescent="0.25">
      <c r="A47" t="s">
        <v>105</v>
      </c>
      <c r="B47" t="s">
        <v>105</v>
      </c>
      <c r="C47" t="s">
        <v>105</v>
      </c>
      <c r="D47" t="s">
        <v>105</v>
      </c>
      <c r="E47" t="s">
        <v>105</v>
      </c>
      <c r="F47" t="s">
        <v>105</v>
      </c>
      <c r="G47" t="s">
        <v>105</v>
      </c>
      <c r="H47" t="s">
        <v>105</v>
      </c>
      <c r="I47" t="s">
        <v>105</v>
      </c>
      <c r="J47" t="s">
        <v>105</v>
      </c>
      <c r="K47" t="s">
        <v>105</v>
      </c>
      <c r="L47" t="s">
        <v>105</v>
      </c>
      <c r="M47" t="s">
        <v>105</v>
      </c>
      <c r="N47" t="s">
        <v>105</v>
      </c>
      <c r="O47" t="s">
        <v>105</v>
      </c>
      <c r="P47" t="s">
        <v>105</v>
      </c>
      <c r="Q47" t="s">
        <v>105</v>
      </c>
      <c r="R47" t="s">
        <v>105</v>
      </c>
      <c r="S47" t="s">
        <v>105</v>
      </c>
      <c r="T47" t="s">
        <v>105</v>
      </c>
      <c r="U47" t="s">
        <v>105</v>
      </c>
      <c r="V47" t="s">
        <v>105</v>
      </c>
      <c r="W47" t="s">
        <v>105</v>
      </c>
      <c r="X47" t="s">
        <v>105</v>
      </c>
      <c r="Y47" t="s">
        <v>105</v>
      </c>
      <c r="Z47" t="s">
        <v>105</v>
      </c>
    </row>
    <row r="48" spans="1:26" x14ac:dyDescent="0.25">
      <c r="A48" t="s">
        <v>105</v>
      </c>
      <c r="B48" t="s">
        <v>105</v>
      </c>
      <c r="C48" t="s">
        <v>105</v>
      </c>
      <c r="D48" t="s">
        <v>105</v>
      </c>
      <c r="E48" t="s">
        <v>105</v>
      </c>
      <c r="F48" t="s">
        <v>105</v>
      </c>
      <c r="G48" t="s">
        <v>105</v>
      </c>
      <c r="H48" t="s">
        <v>105</v>
      </c>
      <c r="I48" t="s">
        <v>105</v>
      </c>
      <c r="J48" t="s">
        <v>105</v>
      </c>
      <c r="K48" t="s">
        <v>105</v>
      </c>
      <c r="L48" t="s">
        <v>105</v>
      </c>
      <c r="M48" t="s">
        <v>105</v>
      </c>
      <c r="N48" t="s">
        <v>105</v>
      </c>
      <c r="O48" t="s">
        <v>105</v>
      </c>
      <c r="P48" t="s">
        <v>105</v>
      </c>
      <c r="Q48" t="s">
        <v>105</v>
      </c>
      <c r="R48" t="s">
        <v>105</v>
      </c>
      <c r="S48" t="s">
        <v>105</v>
      </c>
      <c r="T48" t="s">
        <v>105</v>
      </c>
      <c r="U48" t="s">
        <v>105</v>
      </c>
      <c r="V48" t="s">
        <v>105</v>
      </c>
      <c r="W48" t="s">
        <v>105</v>
      </c>
      <c r="X48" t="s">
        <v>105</v>
      </c>
      <c r="Y48" t="s">
        <v>105</v>
      </c>
      <c r="Z48" t="s">
        <v>105</v>
      </c>
    </row>
    <row r="49" spans="1:26" x14ac:dyDescent="0.25">
      <c r="A49" t="s">
        <v>105</v>
      </c>
      <c r="B49" t="s">
        <v>105</v>
      </c>
      <c r="C49" t="s">
        <v>105</v>
      </c>
      <c r="D49" t="s">
        <v>105</v>
      </c>
      <c r="E49" t="s">
        <v>105</v>
      </c>
      <c r="F49" t="s">
        <v>105</v>
      </c>
      <c r="G49" t="s">
        <v>105</v>
      </c>
      <c r="H49" t="s">
        <v>105</v>
      </c>
      <c r="I49" t="s">
        <v>105</v>
      </c>
      <c r="J49" t="s">
        <v>105</v>
      </c>
      <c r="K49" t="s">
        <v>105</v>
      </c>
      <c r="L49" t="s">
        <v>105</v>
      </c>
      <c r="M49" t="s">
        <v>105</v>
      </c>
      <c r="N49" t="s">
        <v>105</v>
      </c>
      <c r="O49" t="s">
        <v>105</v>
      </c>
      <c r="P49" t="s">
        <v>105</v>
      </c>
      <c r="Q49" t="s">
        <v>105</v>
      </c>
      <c r="R49" t="s">
        <v>105</v>
      </c>
      <c r="S49" t="s">
        <v>105</v>
      </c>
      <c r="T49" t="s">
        <v>105</v>
      </c>
      <c r="U49" t="s">
        <v>105</v>
      </c>
      <c r="V49" t="s">
        <v>105</v>
      </c>
      <c r="W49" t="s">
        <v>105</v>
      </c>
      <c r="X49" t="s">
        <v>105</v>
      </c>
      <c r="Y49" t="s">
        <v>105</v>
      </c>
      <c r="Z49" t="s">
        <v>105</v>
      </c>
    </row>
    <row r="50" spans="1:26" x14ac:dyDescent="0.25">
      <c r="A50" t="s">
        <v>105</v>
      </c>
      <c r="B50" t="s">
        <v>105</v>
      </c>
      <c r="C50" t="s">
        <v>105</v>
      </c>
      <c r="D50" t="s">
        <v>105</v>
      </c>
      <c r="E50" t="s">
        <v>105</v>
      </c>
      <c r="F50" t="s">
        <v>105</v>
      </c>
      <c r="G50" t="s">
        <v>105</v>
      </c>
      <c r="H50" t="s">
        <v>105</v>
      </c>
      <c r="I50" t="s">
        <v>105</v>
      </c>
      <c r="J50" t="s">
        <v>105</v>
      </c>
      <c r="K50" t="s">
        <v>105</v>
      </c>
      <c r="L50" t="s">
        <v>105</v>
      </c>
      <c r="M50" t="s">
        <v>105</v>
      </c>
      <c r="N50" t="s">
        <v>105</v>
      </c>
      <c r="O50" t="s">
        <v>105</v>
      </c>
      <c r="P50" t="s">
        <v>105</v>
      </c>
      <c r="Q50" t="s">
        <v>105</v>
      </c>
      <c r="R50" t="s">
        <v>105</v>
      </c>
      <c r="S50" t="s">
        <v>105</v>
      </c>
      <c r="T50" t="s">
        <v>105</v>
      </c>
      <c r="U50" t="s">
        <v>105</v>
      </c>
      <c r="V50" t="s">
        <v>105</v>
      </c>
      <c r="W50" t="s">
        <v>105</v>
      </c>
      <c r="X50" t="s">
        <v>105</v>
      </c>
      <c r="Y50" t="s">
        <v>105</v>
      </c>
      <c r="Z50" t="s">
        <v>105</v>
      </c>
    </row>
  </sheetData>
  <mergeCells count="1"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Uncertanity Evaluation</vt:lpstr>
      <vt:lpstr>2nd Page</vt:lpstr>
      <vt:lpstr>3rd page</vt:lpstr>
      <vt:lpstr>observation</vt:lpstr>
      <vt:lpstr>certificate</vt:lpstr>
      <vt:lpstr>functionality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2026-04-04T15:43:23Z</dcterms:created>
  <dcterms:modified xsi:type="dcterms:W3CDTF">2026-04-04T15:43:23Z</dcterms:modified>
</cp:coreProperties>
</file>
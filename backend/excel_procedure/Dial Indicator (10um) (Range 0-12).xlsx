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mbeddings/oleObject3.bin" ContentType="application/vnd.openxmlformats-officedocument.oleObject"/>
  <Override PartName="/xl/embeddings/oleObject4.bin" ContentType="application/vnd.openxmlformats-officedocument.oleObject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2760" yWindow="120" windowWidth="6120" windowHeight="6000" tabRatio="730" activeTab="4"/>
  </bookViews>
  <sheets>
    <sheet name="Uncertanity Evaluation" sheetId="267" r:id="rId1"/>
    <sheet name="2nd Page" sheetId="269" r:id="rId2"/>
    <sheet name="3rd page" sheetId="270" r:id="rId3"/>
    <sheet name="Certificate" sheetId="271" r:id="rId4"/>
    <sheet name="Observation" sheetId="27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0">#REF!</definedName>
    <definedName name="\a">#REF!</definedName>
    <definedName name="\c">#REF!</definedName>
    <definedName name="\l">#REF!</definedName>
    <definedName name="\p">#REF!</definedName>
    <definedName name="\q">#REF!</definedName>
    <definedName name="\s">#REF!</definedName>
    <definedName name="\u">#REF!</definedName>
    <definedName name="\w">#REF!</definedName>
    <definedName name="__123Graph_A" hidden="1">[1]Sheet8!$E$7:$X$7</definedName>
    <definedName name="__123Graph_B" hidden="1">[1]J!$AL$22:$BE$22</definedName>
    <definedName name="__123Graph_C" hidden="1">[1]J!$AL$23:$BE$23</definedName>
    <definedName name="__123Graph_D" hidden="1">[1]com_cutWm21!$F$7:$F$11</definedName>
    <definedName name="__123Graph_E" hidden="1">[1]com_cutWm21!$G$7:$G$11</definedName>
    <definedName name="__123Graph_F" hidden="1">[1]com_cutWm21!$H$7:$H$11</definedName>
    <definedName name="__123Graph_X" hidden="1">[1]Sheet8!$E$6:$Z$6</definedName>
    <definedName name="_Dist_Bin" hidden="1">#REF!</definedName>
    <definedName name="_Dist_Values" hidden="1">#REF!</definedName>
    <definedName name="_Fill" hidden="1">#REF!</definedName>
    <definedName name="_FLD1">#REF!</definedName>
    <definedName name="_FLD2">#REF!</definedName>
    <definedName name="_FLD3">#REF!</definedName>
    <definedName name="_FLD4">#REF!</definedName>
    <definedName name="_FLD5">#REF!</definedName>
    <definedName name="_FLD6">#REF!</definedName>
    <definedName name="_Key1" hidden="1">#REF!</definedName>
    <definedName name="_Key2" hidden="1">[2]FACT.B!#REF!</definedName>
    <definedName name="_Order1" hidden="1">0</definedName>
    <definedName name="_Order2" hidden="1">255</definedName>
    <definedName name="_Sort" hidden="1">[2]FACT.B!#REF!</definedName>
    <definedName name="■1次考課総合考課点の算出">#REF!</definedName>
    <definedName name="■ウェイトの記入">#REF!</definedName>
    <definedName name="■目標の記入">#REF!</definedName>
    <definedName name="■目標の達成状況と自己評価_フィードバック面接時に必要">#REF!</definedName>
    <definedName name="■自己評価・1次評価の判定">#REF!</definedName>
    <definedName name="■難易度の記入">#REF!</definedName>
    <definedName name="①">#REF!</definedName>
    <definedName name="②">#REF!</definedName>
    <definedName name="A">[0]!A</definedName>
    <definedName name="aa" localSheetId="1">'2nd Page'!aa</definedName>
    <definedName name="aa" localSheetId="2">'3rd page'!aa</definedName>
    <definedName name="aa">[0]!aa</definedName>
    <definedName name="AAS">[0]!AAS</definedName>
    <definedName name="AS">[0]!AS</definedName>
    <definedName name="bb" localSheetId="1">'2nd Page'!bb</definedName>
    <definedName name="bb" localSheetId="2">'3rd page'!bb</definedName>
    <definedName name="bb">[0]!bb</definedName>
    <definedName name="d">'[3]SM-13仕様一覧'!#REF!</definedName>
    <definedName name="_xlnm.Database">#REF!</definedName>
    <definedName name="dsadwqdf" localSheetId="1">'2nd Page'!dsadwqdf</definedName>
    <definedName name="dsadwqdf" localSheetId="2">'3rd page'!dsadwqdf</definedName>
    <definedName name="dsadwqdf">[0]!dsadwqdf</definedName>
    <definedName name="ewgrtg" localSheetId="1">'2nd Page'!ewgrtg</definedName>
    <definedName name="ewgrtg" localSheetId="2">'3rd page'!ewgrtg</definedName>
    <definedName name="ewgrtg">[0]!ewgrtg</definedName>
    <definedName name="Excel_BuiltIn_Print_Area">'[4]FORMAT '!#REF!</definedName>
    <definedName name="FLD0">#REF!</definedName>
    <definedName name="FLDP">#REF!</definedName>
    <definedName name="FNAME">#REF!</definedName>
    <definedName name="gjfjfgjhfg">[0]!gjfjfgjhfg</definedName>
    <definedName name="HALF1">#REF!</definedName>
    <definedName name="HALF2">#REF!</definedName>
    <definedName name="HALF3">#REF!</definedName>
    <definedName name="HALF4">#REF!</definedName>
    <definedName name="HALF5">#REF!</definedName>
    <definedName name="HALF6">#REF!</definedName>
    <definedName name="HEADDAYA3">[5]Calendar!$U$42:$AA$47,[5]Calendar!$L$42:$R$47,[5]Calendar!$C$42:$I$47,[5]Calendar!$C$33:$I$38,[5]Calendar!$L$33:$R$38,[5]Calendar!$U$33:$AA$38,[5]Calendar!$U$24:$AA$29,[5]Calendar!$L$24:$R$28,[5]Calendar!$L$29:$R$29,[5]Calendar!$C$24:$I$29,[5]Calendar!$C$15:$I$20,[5]Calendar!$L$15:$R$20,[5]Calendar!$U$15:$AA$20</definedName>
    <definedName name="HEADDAYA4">[5]Calendar!$C$15:$I$20,[5]Calendar!$L$15,[5]Calendar!$R$15,[5]Calendar!$L$15:$R$20,[5]Calendar!$U$15:$AA$20,[5]Calendar!$C$24:$I$29,[5]Calendar!$L$24:$R$29,[5]Calendar!$U$24:$AA$29,[5]Calendar!$C$33:$I$38,[5]Calendar!$L$33:$R$37,[5]Calendar!$L$33:$R$38,[5]Calendar!$U$33:$AA$37,[5]Calendar!$AA$37,[5]Calendar!$U$33:$AA$38,[5]Calendar!$C$42:$I$47,[5]Calendar!$L$42:$R$47,[5]Calendar!$U$42:$AA$47</definedName>
    <definedName name="HEADWEEKA3">[5]Calendar!$C$14:$I$14,[5]Calendar!$L$14:$R$14,[5]Calendar!$U$14:$AA$14,[5]Calendar!$C$23:$I$23,[5]Calendar!$L$23:$R$23,[5]Calendar!$U$23:$AA$23,[5]Calendar!$C$32:$I$32,[5]Calendar!$L$32:$R$32,[5]Calendar!$U$32:$AA$32,[5]Calendar!$C$41:$I$41,[5]Calendar!$L$41:$R$41,[5]Calendar!$U$41:$AA$41</definedName>
    <definedName name="HEADWEEKA4">[5]Calendar!$C$14:$I$14,[5]Calendar!$L$14:$R$14,[5]Calendar!$U$14:$AA$14,[5]Calendar!$U$23:$AA$23,[5]Calendar!$L$23:$R$23,[5]Calendar!$C$23:$I$23,[5]Calendar!$U$32:$AA$32,[5]Calendar!$L$32:$R$32,[5]Calendar!$C$32:$I$32,[5]Calendar!$U$41:$AA$41,[5]Calendar!$L$41:$R$41,[5]Calendar!$C$41:$I$41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
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KFF1枚目">#REF!</definedName>
    <definedName name="KFF2枚目">#REF!</definedName>
    <definedName name="LOOP1">#REF!</definedName>
    <definedName name="MAXN">#REF!</definedName>
    <definedName name="OBAT" hidden="1">#REF!</definedName>
    <definedName name="_xlnm.Print_Area" localSheetId="1">'2nd Page'!$A$1:$E$38</definedName>
    <definedName name="_xlnm.Print_Area" localSheetId="2">'3rd page'!$A$1:$M$40</definedName>
    <definedName name="_xlnm.Print_Area" localSheetId="0">'Uncertanity Evaluation'!$A$1:$I$42</definedName>
    <definedName name="_xlnm.Print_Area">#REF!</definedName>
    <definedName name="Print_Area_MI">#REF!</definedName>
    <definedName name="_xlnm.Print_Titles" localSheetId="1">'2nd Page'!$1:$2</definedName>
    <definedName name="_xlnm.Print_Titles" localSheetId="2">'3rd page'!$1:$2</definedName>
    <definedName name="_xlnm.Print_Titles" localSheetId="0">'Uncertanity Evaluation'!$1:$5</definedName>
    <definedName name="_xlnm.Print_Titles">#REF!</definedName>
    <definedName name="Print_Titles_MI">[6]Press!#REF!</definedName>
    <definedName name="ｑｑｑ" localSheetId="1">'2nd Page'!ｑｑｑ</definedName>
    <definedName name="ｑｑｑ" localSheetId="2">'3rd page'!ｑｑｑ</definedName>
    <definedName name="ｑｑｑ">[0]!ｑｑｑ</definedName>
    <definedName name="Range">'[7]Rough sheet-1'!$K$1:$L$30</definedName>
    <definedName name="s" localSheetId="1">'2nd Page'!s</definedName>
    <definedName name="s" localSheetId="2">'3rd page'!s</definedName>
    <definedName name="s">[0]!s</definedName>
    <definedName name="SAD" hidden="1">'[8]comm to ins'!$C$6:$V$6</definedName>
    <definedName name="ss" localSheetId="1">'2nd Page'!ss</definedName>
    <definedName name="ss" localSheetId="2">'3rd page'!ss</definedName>
    <definedName name="ss">[0]!ss</definedName>
    <definedName name="target" hidden="1">'[8]T.blcok pull load'!$F$15:$F$15</definedName>
    <definedName name="targeta" hidden="1">'[8]comm to ins'!$C$6:$V$6</definedName>
    <definedName name="WU">[0]!WU</definedName>
    <definedName name="あああ" localSheetId="1">'2nd Page'!あああ</definedName>
    <definedName name="あああ" localSheetId="2">'3rd page'!あああ</definedName>
    <definedName name="あああ">[0]!あああ</definedName>
    <definedName name="ﾗｲﾝ">[9]ﾒｲﾝﾒﾆｭｰ!$D$2:$D$3</definedName>
    <definedName name="一覧戻り">[10]!一覧戻り</definedName>
    <definedName name="不具合対策" localSheetId="1">'2nd Page'!不具合対策</definedName>
    <definedName name="不具合対策" localSheetId="2">'3rd page'!不具合対策</definedName>
    <definedName name="不具合対策">[0]!不具合対策</definedName>
    <definedName name="作成日_1999_9_3">#REF!</definedName>
    <definedName name="効率日々" localSheetId="1">'2nd Page'!効率日々</definedName>
    <definedName name="効率日々" localSheetId="2">'3rd page'!効率日々</definedName>
    <definedName name="効率日々">[0]!効率日々</definedName>
    <definedName name="効率項目" localSheetId="1">'2nd Page'!効率項目</definedName>
    <definedName name="効率項目" localSheetId="2">'3rd page'!効率項目</definedName>
    <definedName name="効率項目">[0]!効率項目</definedName>
    <definedName name="圧力角">[11]CRUTCH!$C$13</definedName>
    <definedName name="工程改善">[12]!工程改善</definedName>
    <definedName name="戻り" localSheetId="1">'2nd Page'!戻り</definedName>
    <definedName name="戻り" localSheetId="2">'3rd page'!戻り</definedName>
    <definedName name="戻り">[0]!戻り</definedName>
    <definedName name="目的">[9]ﾒｲﾝﾒﾆｭｰ!$B$9:$B$12</definedName>
    <definedName name="総効率Menu" localSheetId="1">'2nd Page'!総効率Menu</definedName>
    <definedName name="総効率Menu" localSheetId="2">'3rd page'!総効率Menu</definedName>
    <definedName name="総効率Menu">[0]!総効率Menu</definedName>
    <definedName name="賞与支給額">#REF!</definedName>
    <definedName name="過去ﾄﾗ" localSheetId="1">'2nd Page'!過去ﾄﾗ</definedName>
    <definedName name="過去ﾄﾗ" localSheetId="2">'3rd page'!過去ﾄﾗ</definedName>
    <definedName name="過去ﾄﾗ">[0]!過去ﾄﾗ</definedName>
    <definedName name="過去ﾄﾗ検証SAたたき台" localSheetId="1">'2nd Page'!過去ﾄﾗ検証SAたたき台</definedName>
    <definedName name="過去ﾄﾗ検証SAたたき台" localSheetId="2">'3rd page'!過去ﾄﾗ検証SAたたき台</definedName>
    <definedName name="過去ﾄﾗ検証SAたたき台">[0]!過去ﾄﾗ検証SAたたき台</definedName>
    <definedName name="開発">[9]ﾒｲﾝﾒﾆｭｰ!$B$2:$B$7</definedName>
  </definedNames>
  <calcPr calcId="125725"/>
</workbook>
</file>

<file path=xl/calcChain.xml><?xml version="1.0" encoding="utf-8"?>
<calcChain xmlns="http://schemas.openxmlformats.org/spreadsheetml/2006/main">
  <c r="J15" i="272"/>
  <c r="J20" i="271" s="1"/>
  <c r="J19"/>
  <c r="J18"/>
  <c r="J21"/>
  <c r="J22"/>
  <c r="J23"/>
  <c r="J24"/>
  <c r="L3"/>
  <c r="L4"/>
  <c r="L5"/>
  <c r="L6"/>
  <c r="L7"/>
  <c r="L8"/>
  <c r="L9"/>
  <c r="L10"/>
  <c r="L11"/>
  <c r="L12"/>
  <c r="L13"/>
  <c r="L14"/>
  <c r="K3"/>
  <c r="K4"/>
  <c r="K5"/>
  <c r="K6"/>
  <c r="K7"/>
  <c r="K8"/>
  <c r="K9"/>
  <c r="K10"/>
  <c r="K11"/>
  <c r="K12"/>
  <c r="K13"/>
  <c r="K14"/>
  <c r="J3"/>
  <c r="J4"/>
  <c r="J5"/>
  <c r="J6"/>
  <c r="J7"/>
  <c r="J8"/>
  <c r="J9"/>
  <c r="J10"/>
  <c r="J11"/>
  <c r="J12"/>
  <c r="J13"/>
  <c r="J14"/>
  <c r="I3"/>
  <c r="I4"/>
  <c r="I5"/>
  <c r="I6"/>
  <c r="I7"/>
  <c r="I8"/>
  <c r="I9"/>
  <c r="I10"/>
  <c r="I11"/>
  <c r="I12"/>
  <c r="I13"/>
  <c r="I14"/>
  <c r="H3"/>
  <c r="H4"/>
  <c r="H5"/>
  <c r="H6"/>
  <c r="H7"/>
  <c r="H8"/>
  <c r="H9"/>
  <c r="H10"/>
  <c r="H11"/>
  <c r="H12"/>
  <c r="H13"/>
  <c r="H14"/>
  <c r="G3"/>
  <c r="G4"/>
  <c r="G5"/>
  <c r="G6"/>
  <c r="G7"/>
  <c r="G8"/>
  <c r="G9"/>
  <c r="G10"/>
  <c r="G11"/>
  <c r="G12"/>
  <c r="G13"/>
  <c r="G14"/>
  <c r="F14"/>
  <c r="F3"/>
  <c r="F4"/>
  <c r="F5"/>
  <c r="F6"/>
  <c r="F7"/>
  <c r="F8"/>
  <c r="F9"/>
  <c r="F10"/>
  <c r="F11"/>
  <c r="F12"/>
  <c r="F13"/>
  <c r="E3"/>
  <c r="E4"/>
  <c r="E5"/>
  <c r="E6"/>
  <c r="E7"/>
  <c r="E8"/>
  <c r="E9"/>
  <c r="E10"/>
  <c r="E11"/>
  <c r="E12"/>
  <c r="E13"/>
  <c r="E14"/>
  <c r="D3"/>
  <c r="D4"/>
  <c r="D5"/>
  <c r="D6"/>
  <c r="D7"/>
  <c r="D8"/>
  <c r="D9"/>
  <c r="D10"/>
  <c r="D11"/>
  <c r="D12"/>
  <c r="D13"/>
  <c r="D14"/>
  <c r="C3"/>
  <c r="C4"/>
  <c r="C5"/>
  <c r="C6"/>
  <c r="C7"/>
  <c r="C8"/>
  <c r="C9"/>
  <c r="C10"/>
  <c r="C11"/>
  <c r="C12"/>
  <c r="C13"/>
  <c r="C14"/>
  <c r="D2"/>
  <c r="E2"/>
  <c r="F2"/>
  <c r="G2"/>
  <c r="H2"/>
  <c r="I2"/>
  <c r="J2"/>
  <c r="K2"/>
  <c r="L2"/>
  <c r="C2"/>
  <c r="E40" i="267" l="1"/>
  <c r="D34"/>
  <c r="F34"/>
  <c r="C26"/>
  <c r="D35" s="1"/>
  <c r="F35" s="1"/>
  <c r="H21" i="269"/>
  <c r="H19"/>
  <c r="H17"/>
  <c r="H15"/>
  <c r="H13"/>
  <c r="H11"/>
  <c r="D28" i="267"/>
  <c r="F28" s="1"/>
  <c r="L23"/>
  <c r="N14"/>
  <c r="M15" s="1"/>
  <c r="H25" i="269"/>
  <c r="I9" i="270"/>
  <c r="I8"/>
  <c r="H9"/>
  <c r="H8"/>
  <c r="C9"/>
  <c r="D9" s="1"/>
  <c r="C8"/>
  <c r="G8" s="1"/>
  <c r="K8" s="1"/>
  <c r="L8" s="1"/>
  <c r="E9"/>
  <c r="E8"/>
  <c r="C7"/>
  <c r="G7" s="1"/>
  <c r="I7"/>
  <c r="C6"/>
  <c r="D6" s="1"/>
  <c r="I6"/>
  <c r="C5"/>
  <c r="D5" s="1"/>
  <c r="I5"/>
  <c r="C10"/>
  <c r="G10" s="1"/>
  <c r="I10"/>
  <c r="C11"/>
  <c r="G11" s="1"/>
  <c r="I11"/>
  <c r="C12"/>
  <c r="G12" s="1"/>
  <c r="I12"/>
  <c r="C13"/>
  <c r="D13" s="1"/>
  <c r="I13"/>
  <c r="E6"/>
  <c r="E7"/>
  <c r="E10"/>
  <c r="E11"/>
  <c r="E12"/>
  <c r="E13"/>
  <c r="E5"/>
  <c r="H7"/>
  <c r="H6"/>
  <c r="H5"/>
  <c r="H14"/>
  <c r="H13"/>
  <c r="H12"/>
  <c r="H11"/>
  <c r="H10"/>
  <c r="D27" i="267"/>
  <c r="F27" s="1"/>
  <c r="D30"/>
  <c r="F30"/>
  <c r="D12" i="270" l="1"/>
  <c r="D31" i="267"/>
  <c r="F31" s="1"/>
  <c r="D33"/>
  <c r="F33" s="1"/>
  <c r="G13" i="270"/>
  <c r="K13" s="1"/>
  <c r="L13" s="1"/>
  <c r="D26" i="267"/>
  <c r="F26" s="1"/>
  <c r="F36" s="1"/>
  <c r="G30" s="1"/>
  <c r="K11" i="270"/>
  <c r="L11" s="1"/>
  <c r="D29" i="267"/>
  <c r="F29" s="1"/>
  <c r="D32"/>
  <c r="F32" s="1"/>
  <c r="K12" i="270"/>
  <c r="L12" s="1"/>
  <c r="K10"/>
  <c r="L10" s="1"/>
  <c r="G6"/>
  <c r="K6" s="1"/>
  <c r="L6" s="1"/>
  <c r="K7"/>
  <c r="L7" s="1"/>
  <c r="D8"/>
  <c r="D10"/>
  <c r="D11"/>
  <c r="G5"/>
  <c r="K5" s="1"/>
  <c r="L5" s="1"/>
  <c r="D7"/>
  <c r="G9"/>
  <c r="K9" s="1"/>
  <c r="L9" s="1"/>
  <c r="G38" i="267" l="1"/>
  <c r="B23" i="269"/>
  <c r="C14" i="270" s="1"/>
  <c r="G14" l="1"/>
  <c r="K14" s="1"/>
  <c r="L14" s="1"/>
  <c r="L15" s="1"/>
  <c r="F16" s="1"/>
  <c r="F23" s="1"/>
  <c r="D14"/>
  <c r="F18" l="1"/>
</calcChain>
</file>

<file path=xl/sharedStrings.xml><?xml version="1.0" encoding="utf-8"?>
<sst xmlns="http://schemas.openxmlformats.org/spreadsheetml/2006/main" count="256" uniqueCount="137">
  <si>
    <t>2.Device under calibration:</t>
  </si>
  <si>
    <t>Range :</t>
  </si>
  <si>
    <t>Resolution:</t>
  </si>
  <si>
    <t xml:space="preserve">3.Standards / Equipment used for calibration   :    </t>
  </si>
  <si>
    <t>Standard / Equipment</t>
  </si>
  <si>
    <t>Traceability</t>
  </si>
  <si>
    <t xml:space="preserve">4. Temperature during calibration (Deg C) :   </t>
  </si>
  <si>
    <t>ESTIMATION OF UNCERTAINTY</t>
  </si>
  <si>
    <t>End</t>
  </si>
  <si>
    <t>Mean</t>
  </si>
  <si>
    <t>5. Type A</t>
  </si>
  <si>
    <t>8.0 Type B Evaluation</t>
  </si>
  <si>
    <t>U1 =</t>
  </si>
  <si>
    <t>µm</t>
  </si>
  <si>
    <t>U3 =</t>
  </si>
  <si>
    <t>U4 =</t>
  </si>
  <si>
    <t>Combined Standard Uncertainty =</t>
  </si>
  <si>
    <t>U1</t>
  </si>
  <si>
    <t>U3</t>
  </si>
  <si>
    <t>U7</t>
  </si>
  <si>
    <t>U8</t>
  </si>
  <si>
    <t>Probability Disturbution Type A or TypeB</t>
  </si>
  <si>
    <t>Type A</t>
  </si>
  <si>
    <t>°C</t>
  </si>
  <si>
    <t>Sl.No.</t>
  </si>
  <si>
    <t>7.0 Degree of Freedom :</t>
  </si>
  <si>
    <r>
      <t>1.</t>
    </r>
    <r>
      <rPr>
        <b/>
        <sz val="10"/>
        <rFont val="Arial"/>
        <family val="2"/>
      </rPr>
      <t xml:space="preserve"> Laboratory </t>
    </r>
    <r>
      <rPr>
        <b/>
        <sz val="9"/>
        <rFont val="Arial"/>
        <family val="2"/>
      </rPr>
      <t xml:space="preserve">: </t>
    </r>
  </si>
  <si>
    <t>Date:</t>
  </si>
  <si>
    <t xml:space="preserve">Standard Deviation </t>
  </si>
  <si>
    <t>Range  mm</t>
  </si>
  <si>
    <t>Resolution mm</t>
  </si>
  <si>
    <t>Effective Degree of Freedom =</t>
  </si>
  <si>
    <t>Coverage Factor =</t>
  </si>
  <si>
    <t>Expanded Uncertainty =</t>
  </si>
  <si>
    <r>
      <t>m</t>
    </r>
    <r>
      <rPr>
        <b/>
        <sz val="11"/>
        <rFont val="Arial"/>
        <family val="2"/>
      </rPr>
      <t>m</t>
    </r>
  </si>
  <si>
    <t>Source of Uncertainity</t>
  </si>
  <si>
    <t>Sensitivity Co-Efficient</t>
  </si>
  <si>
    <t>Beginning</t>
  </si>
  <si>
    <t>Number of Readings =</t>
  </si>
  <si>
    <t>6.0 Standard deviation of the mean :</t>
  </si>
  <si>
    <t xml:space="preserve">             (Calculated Value)</t>
  </si>
  <si>
    <t xml:space="preserve">             n     =</t>
  </si>
  <si>
    <t xml:space="preserve">Limits  ±     xi           (µm) </t>
  </si>
  <si>
    <t>Standard uncertainity u(xi)</t>
  </si>
  <si>
    <r>
      <t xml:space="preserve">Sensitivity                    Co-efficient   </t>
    </r>
    <r>
      <rPr>
        <b/>
        <sz val="10"/>
        <rFont val="Arial"/>
        <family val="2"/>
      </rPr>
      <t xml:space="preserve"> ci</t>
    </r>
  </si>
  <si>
    <r>
      <t xml:space="preserve">Estimate  </t>
    </r>
    <r>
      <rPr>
        <sz val="12"/>
        <rFont val="Arial"/>
        <family val="2"/>
      </rPr>
      <t>x</t>
    </r>
    <r>
      <rPr>
        <sz val="10"/>
        <rFont val="Arial"/>
        <family val="2"/>
      </rPr>
      <t xml:space="preserve"> </t>
    </r>
    <r>
      <rPr>
        <sz val="5"/>
        <rFont val="Arial"/>
        <family val="2"/>
      </rPr>
      <t>i</t>
    </r>
  </si>
  <si>
    <t xml:space="preserve">Source of Uncertanity X i </t>
  </si>
  <si>
    <r>
      <t xml:space="preserve">Degree of freedom  V </t>
    </r>
    <r>
      <rPr>
        <sz val="10"/>
        <rFont val="Constantia"/>
        <family val="1"/>
      </rPr>
      <t>i</t>
    </r>
  </si>
  <si>
    <t>µ/°C/mtr</t>
  </si>
  <si>
    <t>µm/°C</t>
  </si>
  <si>
    <t>Uncertainity Contribution ui (y) in µm</t>
  </si>
  <si>
    <t>UNCERTAINTY BUDGET :</t>
  </si>
  <si>
    <t>Middle</t>
  </si>
  <si>
    <t>RH%</t>
  </si>
  <si>
    <t>Uncertainty due to temperature variation during calibration</t>
  </si>
  <si>
    <t>Uncertainty due to thermal expansion coefficient (10% of root mean square of alpha)</t>
  </si>
  <si>
    <t>∞</t>
  </si>
  <si>
    <t>PLANT - 2</t>
  </si>
  <si>
    <t>NA</t>
  </si>
  <si>
    <t>Readings mm</t>
  </si>
  <si>
    <t xml:space="preserve">        µm               </t>
  </si>
  <si>
    <t>Uncertainty µm</t>
  </si>
  <si>
    <t>Uncertainty due to temperature difference in Snap Gauge &amp; reference item</t>
  </si>
  <si>
    <t>Uncertainty due to the difference in temperature of calibration &amp; 20 deg centigrate.</t>
  </si>
  <si>
    <t>U5</t>
  </si>
  <si>
    <t>U6</t>
  </si>
  <si>
    <t>U2=</t>
  </si>
  <si>
    <t>U2</t>
  </si>
  <si>
    <t>U5 =</t>
  </si>
  <si>
    <t>U9 =</t>
  </si>
  <si>
    <t>U9</t>
  </si>
  <si>
    <t>U6 =</t>
  </si>
  <si>
    <t>U10 =</t>
  </si>
  <si>
    <t>U10</t>
  </si>
  <si>
    <t>ULM Machine</t>
  </si>
  <si>
    <t>0-600</t>
  </si>
  <si>
    <t xml:space="preserve">     0.001µm</t>
  </si>
  <si>
    <t>Uncertainty reported in the calibration certifiacte of ULM</t>
  </si>
  <si>
    <t>Uncertainty Reported due to the Accuracy of the ULM</t>
  </si>
  <si>
    <t>Uncertanity due to resolution of Dial indicator</t>
  </si>
  <si>
    <t>U7=</t>
  </si>
  <si>
    <t>U8 =</t>
  </si>
  <si>
    <t>U4</t>
  </si>
  <si>
    <t>SANSERA ENGINEERING LTD.</t>
  </si>
  <si>
    <t xml:space="preserve">Environmental Control* Length = 2.0°C * 0.020m = 0.04m°C </t>
  </si>
  <si>
    <t>Ci = alphaavg* length = (11.5+11.5)/2 *0.020 = 0.23</t>
  </si>
  <si>
    <t xml:space="preserve">Alphaavg*Length = (11.5+4.7)/2mm/m/°C * 0.020 = 0.23mm/°C    </t>
  </si>
  <si>
    <t>Alphaavg* length = (11.5+11.5)/2 *0.02 = 0.23</t>
  </si>
  <si>
    <t>Uncertainty</t>
  </si>
  <si>
    <t>0.08+0.82(L)</t>
  </si>
  <si>
    <t>Type-A</t>
  </si>
  <si>
    <t>0-10 / 0.010mm</t>
  </si>
  <si>
    <r>
      <t xml:space="preserve">Study Conducted by: </t>
    </r>
    <r>
      <rPr>
        <b/>
        <sz val="10"/>
        <rFont val="Arial"/>
        <family val="2"/>
      </rPr>
      <t>Uday.</t>
    </r>
    <r>
      <rPr>
        <sz val="10"/>
        <rFont val="Arial"/>
        <family val="2"/>
      </rPr>
      <t xml:space="preserve">                                                             Witnessed By :</t>
    </r>
  </si>
  <si>
    <t>Study Conducted by: Uday.                                                         Witnessed By :</t>
  </si>
  <si>
    <t>Study Conducted by: Uday.                                                Witnessed By :</t>
  </si>
  <si>
    <t>Nabl Lab No:CC-3792 and Vide certificate no: RMTL/01/324101569-A1 Calibrated On: 13.05.2024 valid upto 13.05.2026</t>
  </si>
  <si>
    <r>
      <t xml:space="preserve">Uncertanity mentioned in the calibration Report of Thermometer
</t>
    </r>
    <r>
      <rPr>
        <sz val="8"/>
        <rFont val="Arial"/>
        <family val="2"/>
      </rPr>
      <t>(0.020*0.3*(11.5+11.5)/2=0.02µm/°C</t>
    </r>
  </si>
  <si>
    <r>
      <t xml:space="preserve">Uncertanity due to error of the thermometer
</t>
    </r>
    <r>
      <rPr>
        <sz val="8"/>
        <rFont val="Arial"/>
        <family val="2"/>
      </rPr>
      <t>(0.020*0.21*(11.5+11.5)/2=0.07µm/°C</t>
    </r>
  </si>
  <si>
    <t>~</t>
  </si>
  <si>
    <t>Parameter</t>
  </si>
  <si>
    <t>Permissible Error</t>
  </si>
  <si>
    <t>Observed Error</t>
  </si>
  <si>
    <t>Hisyteris</t>
  </si>
  <si>
    <t>Sensitivity</t>
  </si>
  <si>
    <t>Repeatability</t>
  </si>
  <si>
    <t>Any 1/10th rev.</t>
  </si>
  <si>
    <t>Any 1 rev.</t>
  </si>
  <si>
    <t>Any 2 revs.</t>
  </si>
  <si>
    <t>Any large interval up to 10revs.</t>
  </si>
  <si>
    <t>Hisyteris:</t>
  </si>
  <si>
    <t>Type - A  (Repeatability)</t>
  </si>
  <si>
    <t>Any 1/10th Revision</t>
  </si>
  <si>
    <t>Trail-1</t>
  </si>
  <si>
    <t>Trail-2</t>
  </si>
  <si>
    <t>Trail-3</t>
  </si>
  <si>
    <t>Trail-4</t>
  </si>
  <si>
    <t>Trail-5</t>
  </si>
  <si>
    <t>Any 1 Revision</t>
  </si>
  <si>
    <t>Any 2 Revision</t>
  </si>
  <si>
    <t>Any large interval up to 10 Revision</t>
  </si>
  <si>
    <t>Upward Direction</t>
  </si>
  <si>
    <t>Turn - 1</t>
  </si>
  <si>
    <t>Turn - 2</t>
  </si>
  <si>
    <t>Turn - 3</t>
  </si>
  <si>
    <t>Turn - 4</t>
  </si>
  <si>
    <t>Turn - 5</t>
  </si>
  <si>
    <t>Turn - 6</t>
  </si>
  <si>
    <t>Turn - 7</t>
  </si>
  <si>
    <t>Turn - 8</t>
  </si>
  <si>
    <t>Turn - 9</t>
  </si>
  <si>
    <t>Turn - 10</t>
  </si>
  <si>
    <t>Turn - 11</t>
  </si>
  <si>
    <t>Turn - 12</t>
  </si>
  <si>
    <t>Repeatability:</t>
  </si>
  <si>
    <t>Calibration Results ( Values are in µm)</t>
  </si>
  <si>
    <t>Allowable Error for L.C.- 0.01 mm Dial Gauge as per IS 2092-1983 (Values are in mm)</t>
  </si>
  <si>
    <r>
      <rPr>
        <b/>
        <sz val="10"/>
        <rFont val="Arial"/>
        <family val="2"/>
      </rPr>
      <t>EXPANDED UNCERTAINTY</t>
    </r>
    <r>
      <rPr>
        <sz val="11"/>
        <rFont val="돋움"/>
        <charset val="129"/>
      </rPr>
      <t xml:space="preserve"> : ±6.5µm  ( The uncertainty of measurement is expressed at95.45% Confidence with coverage factor K-2)</t>
    </r>
  </si>
</sst>
</file>

<file path=xl/styles.xml><?xml version="1.0" encoding="utf-8"?>
<styleSheet xmlns="http://schemas.openxmlformats.org/spreadsheetml/2006/main">
  <numFmts count="1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\&quot;#,##0;[Red]&quot;\&quot;\-#,##0"/>
    <numFmt numFmtId="165" formatCode="&quot;\&quot;#,##0.00;[Red]&quot;\&quot;\-#,##0.00"/>
    <numFmt numFmtId="166" formatCode="0.000"/>
    <numFmt numFmtId="167" formatCode="0.00000"/>
    <numFmt numFmtId="168" formatCode="0.0000"/>
    <numFmt numFmtId="169" formatCode="[$-409]dd\-mmm\-yy;@"/>
    <numFmt numFmtId="170" formatCode="&quot;\&quot;#,##0.0;\-&quot;\&quot;#,##0.0"/>
    <numFmt numFmtId="171" formatCode="##0.00E+0"/>
    <numFmt numFmtId="172" formatCode="##0.000E+0"/>
  </numFmts>
  <fonts count="33">
    <font>
      <sz val="11"/>
      <name val="돋움"/>
      <charset val="129"/>
    </font>
    <font>
      <sz val="12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Symbol"/>
      <family val="1"/>
      <charset val="2"/>
    </font>
    <font>
      <sz val="8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ＭＳ Ｐゴシック"/>
      <family val="3"/>
      <charset val="128"/>
    </font>
    <font>
      <b/>
      <sz val="10"/>
      <name val="Tms Rmn"/>
      <family val="1"/>
    </font>
    <font>
      <sz val="11"/>
      <name val="ＭＳ 明朝"/>
      <family val="1"/>
      <charset val="128"/>
    </font>
    <font>
      <sz val="10"/>
      <name val="MS Sans Serif"/>
      <family val="2"/>
    </font>
    <font>
      <sz val="12"/>
      <name val="標準明朝"/>
      <family val="1"/>
      <charset val="128"/>
    </font>
    <font>
      <sz val="8"/>
      <name val="ＭＳ 明朝"/>
      <family val="1"/>
      <charset val="128"/>
    </font>
    <font>
      <u/>
      <sz val="10"/>
      <color indexed="12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Tahoma"/>
      <family val="2"/>
    </font>
    <font>
      <u/>
      <sz val="10"/>
      <color indexed="36"/>
      <name val="ＭＳ ゴシック"/>
      <family val="3"/>
      <charset val="128"/>
    </font>
    <font>
      <sz val="11"/>
      <name val="돋움"/>
      <family val="3"/>
      <charset val="129"/>
    </font>
    <font>
      <b/>
      <sz val="11"/>
      <name val="Symbol"/>
      <family val="1"/>
      <charset val="2"/>
    </font>
    <font>
      <sz val="11"/>
      <name val="Arial"/>
      <family val="2"/>
    </font>
    <font>
      <sz val="5"/>
      <name val="Arial"/>
      <family val="2"/>
    </font>
    <font>
      <b/>
      <i/>
      <sz val="13"/>
      <name val="Times New Roman"/>
      <family val="1"/>
    </font>
    <font>
      <sz val="10"/>
      <name val="Constantia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60">
    <xf numFmtId="0" fontId="0" fillId="0" borderId="0"/>
    <xf numFmtId="170" fontId="16" fillId="0" borderId="0" applyFill="0" applyBorder="0" applyAlignment="0"/>
    <xf numFmtId="0" fontId="17" fillId="0" borderId="0"/>
    <xf numFmtId="0" fontId="17" fillId="0" borderId="0"/>
    <xf numFmtId="0" fontId="17" fillId="0" borderId="0"/>
    <xf numFmtId="172" fontId="18" fillId="0" borderId="0">
      <protection locked="0"/>
    </xf>
    <xf numFmtId="172" fontId="18" fillId="0" borderId="0">
      <protection locked="0"/>
    </xf>
    <xf numFmtId="38" fontId="8" fillId="2" borderId="0" applyNumberFormat="0" applyBorder="0" applyAlignment="0" applyProtection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172" fontId="18" fillId="0" borderId="0">
      <protection locked="0"/>
    </xf>
    <xf numFmtId="172" fontId="18" fillId="0" borderId="0">
      <protection locked="0"/>
    </xf>
    <xf numFmtId="10" fontId="8" fillId="3" borderId="3" applyNumberFormat="0" applyBorder="0" applyAlignment="0" applyProtection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6" fontId="19" fillId="0" borderId="0" applyFont="0" applyFill="0" applyBorder="0" applyAlignment="0" applyProtection="0"/>
    <xf numFmtId="8" fontId="19" fillId="0" borderId="0" applyFont="0" applyFill="0" applyBorder="0" applyAlignment="0" applyProtection="0"/>
    <xf numFmtId="171" fontId="18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10" fontId="6" fillId="0" borderId="0" applyFont="0" applyFill="0" applyBorder="0" applyAlignment="0" applyProtection="0"/>
    <xf numFmtId="9" fontId="19" fillId="0" borderId="4" applyNumberFormat="0" applyBorder="0"/>
    <xf numFmtId="0" fontId="21" fillId="0" borderId="0">
      <alignment vertical="center"/>
    </xf>
    <xf numFmtId="0" fontId="6" fillId="0" borderId="0"/>
    <xf numFmtId="0" fontId="16" fillId="0" borderId="0" applyNumberFormat="0" applyFill="0" applyBorder="0" applyAlignment="0" applyProtection="0"/>
    <xf numFmtId="172" fontId="18" fillId="0" borderId="5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" fontId="18" fillId="0" borderId="0" applyFont="0" applyFill="0" applyBorder="0" applyAlignment="0" applyProtection="0">
      <alignment vertical="center"/>
    </xf>
    <xf numFmtId="49" fontId="18" fillId="0" borderId="0" applyFont="0" applyFill="0" applyBorder="0" applyAlignment="0" applyProtection="0">
      <alignment vertical="center"/>
    </xf>
    <xf numFmtId="49" fontId="18" fillId="0" borderId="0" applyFont="0" applyFill="0" applyBorder="0" applyProtection="0">
      <alignment vertical="top" wrapText="1"/>
    </xf>
    <xf numFmtId="14" fontId="18" fillId="0" borderId="0" applyFont="0" applyFill="0" applyBorder="0" applyAlignment="0" applyProtection="0"/>
    <xf numFmtId="0" fontId="19" fillId="0" borderId="0"/>
    <xf numFmtId="0" fontId="23" fillId="0" borderId="0">
      <alignment horizontal="center" vertical="center"/>
    </xf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18" fillId="0" borderId="0"/>
    <xf numFmtId="0" fontId="18" fillId="0" borderId="6">
      <alignment horizontal="center" vertical="center"/>
    </xf>
    <xf numFmtId="0" fontId="25" fillId="0" borderId="0" applyNumberFormat="0" applyFill="0" applyBorder="0" applyAlignment="0" applyProtection="0">
      <alignment vertical="top"/>
      <protection locked="0"/>
    </xf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</cellStyleXfs>
  <cellXfs count="280">
    <xf numFmtId="0" fontId="0" fillId="0" borderId="0" xfId="0"/>
    <xf numFmtId="0" fontId="6" fillId="0" borderId="0" xfId="27" applyFont="1" applyAlignment="1">
      <alignment vertical="center"/>
    </xf>
    <xf numFmtId="0" fontId="6" fillId="0" borderId="7" xfId="27" applyFont="1" applyBorder="1" applyAlignment="1">
      <alignment vertical="center"/>
    </xf>
    <xf numFmtId="0" fontId="6" fillId="0" borderId="0" xfId="27" applyFont="1" applyBorder="1" applyAlignment="1">
      <alignment vertical="center"/>
    </xf>
    <xf numFmtId="0" fontId="6" fillId="0" borderId="8" xfId="27" applyFont="1" applyBorder="1" applyAlignment="1">
      <alignment vertical="center"/>
    </xf>
    <xf numFmtId="17" fontId="4" fillId="0" borderId="0" xfId="27" applyNumberFormat="1" applyFont="1" applyBorder="1" applyAlignment="1">
      <alignment horizontal="center" vertical="center" wrapText="1"/>
    </xf>
    <xf numFmtId="17" fontId="4" fillId="0" borderId="8" xfId="27" applyNumberFormat="1" applyFont="1" applyBorder="1" applyAlignment="1">
      <alignment horizontal="center" vertical="center" wrapText="1"/>
    </xf>
    <xf numFmtId="0" fontId="6" fillId="0" borderId="7" xfId="27" applyFont="1" applyBorder="1" applyAlignment="1">
      <alignment horizontal="center" vertical="center" wrapText="1"/>
    </xf>
    <xf numFmtId="0" fontId="6" fillId="0" borderId="0" xfId="27" applyFont="1" applyBorder="1" applyAlignment="1">
      <alignment horizontal="center" vertical="center" wrapText="1"/>
    </xf>
    <xf numFmtId="0" fontId="4" fillId="0" borderId="0" xfId="27" applyFont="1" applyBorder="1" applyAlignment="1">
      <alignment horizontal="left" vertical="center"/>
    </xf>
    <xf numFmtId="0" fontId="6" fillId="0" borderId="7" xfId="27" applyFont="1" applyBorder="1" applyAlignment="1">
      <alignment horizontal="center" vertical="center"/>
    </xf>
    <xf numFmtId="0" fontId="4" fillId="0" borderId="0" xfId="27" applyFont="1" applyBorder="1" applyAlignment="1">
      <alignment vertical="center"/>
    </xf>
    <xf numFmtId="0" fontId="6" fillId="0" borderId="0" xfId="27" applyFont="1" applyBorder="1" applyAlignment="1">
      <alignment horizontal="center" vertical="center"/>
    </xf>
    <xf numFmtId="0" fontId="6" fillId="0" borderId="8" xfId="27" applyFont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1" fontId="0" fillId="4" borderId="0" xfId="0" applyNumberForma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right" vertical="center"/>
    </xf>
    <xf numFmtId="0" fontId="15" fillId="4" borderId="0" xfId="0" applyFont="1" applyFill="1" applyBorder="1" applyAlignment="1">
      <alignment horizontal="right" vertical="center"/>
    </xf>
    <xf numFmtId="0" fontId="10" fillId="4" borderId="7" xfId="0" applyFont="1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4" fillId="0" borderId="7" xfId="27" applyFont="1" applyBorder="1" applyAlignment="1">
      <alignment horizontal="left" vertical="center" wrapText="1"/>
    </xf>
    <xf numFmtId="0" fontId="6" fillId="0" borderId="0" xfId="27" applyFont="1" applyBorder="1" applyAlignment="1">
      <alignment horizontal="left" vertical="center" wrapText="1"/>
    </xf>
    <xf numFmtId="0" fontId="6" fillId="0" borderId="0" xfId="27" quotePrefix="1" applyFont="1" applyBorder="1" applyAlignment="1">
      <alignment horizontal="left" vertical="center" wrapText="1"/>
    </xf>
    <xf numFmtId="0" fontId="6" fillId="0" borderId="8" xfId="27" applyFont="1" applyBorder="1" applyAlignment="1">
      <alignment horizontal="left" vertical="center" wrapText="1"/>
    </xf>
    <xf numFmtId="0" fontId="0" fillId="4" borderId="0" xfId="0" applyFill="1" applyBorder="1" applyAlignment="1">
      <alignment horizontal="left" vertical="center"/>
    </xf>
    <xf numFmtId="168" fontId="0" fillId="4" borderId="0" xfId="0" applyNumberFormat="1" applyFill="1" applyBorder="1" applyAlignment="1">
      <alignment horizontal="center" vertical="center"/>
    </xf>
    <xf numFmtId="0" fontId="4" fillId="0" borderId="0" xfId="27" applyFont="1" applyBorder="1" applyAlignment="1">
      <alignment horizontal="center" vertical="center"/>
    </xf>
    <xf numFmtId="0" fontId="4" fillId="0" borderId="8" xfId="27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4" fontId="0" fillId="4" borderId="0" xfId="0" applyNumberForma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vertical="center"/>
    </xf>
    <xf numFmtId="49" fontId="6" fillId="4" borderId="0" xfId="0" applyNumberFormat="1" applyFont="1" applyFill="1" applyBorder="1" applyAlignment="1">
      <alignment vertical="center"/>
    </xf>
    <xf numFmtId="49" fontId="6" fillId="4" borderId="7" xfId="0" applyNumberFormat="1" applyFont="1" applyFill="1" applyBorder="1" applyAlignment="1">
      <alignment horizontal="center" vertical="center"/>
    </xf>
    <xf numFmtId="0" fontId="5" fillId="0" borderId="9" xfId="27" applyFont="1" applyBorder="1" applyAlignment="1">
      <alignment horizontal="center" vertical="center"/>
    </xf>
    <xf numFmtId="0" fontId="10" fillId="0" borderId="10" xfId="27" applyFont="1" applyBorder="1" applyAlignment="1">
      <alignment horizontal="center" vertical="center" wrapText="1"/>
    </xf>
    <xf numFmtId="168" fontId="26" fillId="4" borderId="0" xfId="0" applyNumberFormat="1" applyFont="1" applyFill="1" applyBorder="1" applyAlignment="1">
      <alignment horizontal="center" vertical="center"/>
    </xf>
    <xf numFmtId="0" fontId="6" fillId="0" borderId="11" xfId="27" applyFont="1" applyBorder="1" applyAlignment="1">
      <alignment horizontal="center" vertical="center"/>
    </xf>
    <xf numFmtId="0" fontId="6" fillId="0" borderId="12" xfId="27" applyFont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49" fontId="6" fillId="4" borderId="0" xfId="0" applyNumberFormat="1" applyFont="1" applyFill="1" applyBorder="1" applyAlignment="1">
      <alignment horizontal="center" vertical="center"/>
    </xf>
    <xf numFmtId="0" fontId="4" fillId="0" borderId="7" xfId="27" applyFont="1" applyBorder="1" applyAlignment="1">
      <alignment vertical="center"/>
    </xf>
    <xf numFmtId="0" fontId="4" fillId="0" borderId="7" xfId="27" applyFont="1" applyBorder="1" applyAlignment="1">
      <alignment horizontal="left" vertical="center"/>
    </xf>
    <xf numFmtId="0" fontId="6" fillId="4" borderId="9" xfId="0" applyFont="1" applyFill="1" applyBorder="1" applyAlignment="1">
      <alignment horizontal="center" vertical="center"/>
    </xf>
    <xf numFmtId="0" fontId="6" fillId="0" borderId="3" xfId="27" applyFont="1" applyBorder="1" applyAlignment="1">
      <alignment horizontal="center" vertical="center"/>
    </xf>
    <xf numFmtId="0" fontId="27" fillId="4" borderId="0" xfId="0" applyFont="1" applyFill="1" applyBorder="1" applyAlignment="1">
      <alignment vertical="center"/>
    </xf>
    <xf numFmtId="0" fontId="12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6" fillId="4" borderId="13" xfId="0" applyFont="1" applyFill="1" applyBorder="1" applyAlignment="1">
      <alignment horizontal="center" vertical="center"/>
    </xf>
    <xf numFmtId="0" fontId="4" fillId="0" borderId="3" xfId="27" applyFont="1" applyBorder="1" applyAlignment="1">
      <alignment horizontal="center" vertical="center" wrapText="1"/>
    </xf>
    <xf numFmtId="0" fontId="4" fillId="0" borderId="0" xfId="27" applyFont="1" applyBorder="1" applyAlignment="1">
      <alignment horizontal="left" vertical="center" wrapText="1"/>
    </xf>
    <xf numFmtId="49" fontId="4" fillId="4" borderId="0" xfId="0" applyNumberFormat="1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6" fillId="0" borderId="0" xfId="27" applyFont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6" fillId="0" borderId="0" xfId="27" applyFont="1" applyAlignment="1">
      <alignment horizontal="left" vertical="center"/>
    </xf>
    <xf numFmtId="0" fontId="6" fillId="0" borderId="14" xfId="27" applyFont="1" applyBorder="1" applyAlignment="1">
      <alignment horizontal="center" vertical="center"/>
    </xf>
    <xf numFmtId="0" fontId="6" fillId="0" borderId="0" xfId="27" applyFont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/>
    </xf>
    <xf numFmtId="0" fontId="6" fillId="0" borderId="15" xfId="27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168" fontId="0" fillId="4" borderId="8" xfId="0" applyNumberFormat="1" applyFill="1" applyBorder="1" applyAlignment="1">
      <alignment horizontal="center" vertical="center"/>
    </xf>
    <xf numFmtId="0" fontId="6" fillId="0" borderId="9" xfId="27" applyFont="1" applyBorder="1" applyAlignment="1">
      <alignment horizontal="center" vertical="top" wrapText="1"/>
    </xf>
    <xf numFmtId="0" fontId="6" fillId="0" borderId="16" xfId="27" applyFont="1" applyBorder="1" applyAlignment="1">
      <alignment horizontal="center" vertical="center" wrapText="1"/>
    </xf>
    <xf numFmtId="0" fontId="6" fillId="0" borderId="10" xfId="27" applyFont="1" applyBorder="1" applyAlignment="1">
      <alignment horizontal="center" vertical="center" wrapText="1"/>
    </xf>
    <xf numFmtId="0" fontId="6" fillId="0" borderId="9" xfId="27" applyFont="1" applyBorder="1" applyAlignment="1">
      <alignment horizontal="center" vertical="top"/>
    </xf>
    <xf numFmtId="0" fontId="6" fillId="0" borderId="9" xfId="27" applyFont="1" applyBorder="1" applyAlignment="1">
      <alignment horizontal="center" vertical="center" wrapText="1"/>
    </xf>
    <xf numFmtId="0" fontId="6" fillId="4" borderId="0" xfId="0" applyFont="1" applyFill="1" applyBorder="1" applyAlignment="1">
      <alignment vertical="center"/>
    </xf>
    <xf numFmtId="169" fontId="6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2" fontId="28" fillId="4" borderId="0" xfId="0" applyNumberFormat="1" applyFont="1" applyFill="1" applyBorder="1" applyAlignment="1">
      <alignment horizontal="center" vertical="center"/>
    </xf>
    <xf numFmtId="168" fontId="6" fillId="0" borderId="8" xfId="27" applyNumberFormat="1" applyFont="1" applyBorder="1" applyAlignment="1">
      <alignment vertical="center"/>
    </xf>
    <xf numFmtId="166" fontId="4" fillId="4" borderId="0" xfId="0" applyNumberFormat="1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/>
    </xf>
    <xf numFmtId="168" fontId="0" fillId="4" borderId="9" xfId="0" applyNumberFormat="1" applyFill="1" applyBorder="1" applyAlignment="1" applyProtection="1">
      <alignment horizontal="center" vertical="center"/>
    </xf>
    <xf numFmtId="168" fontId="0" fillId="4" borderId="16" xfId="0" applyNumberFormat="1" applyFill="1" applyBorder="1" applyAlignment="1" applyProtection="1">
      <alignment horizontal="center" vertical="center"/>
    </xf>
    <xf numFmtId="168" fontId="0" fillId="4" borderId="10" xfId="0" applyNumberFormat="1" applyFill="1" applyBorder="1" applyAlignment="1" applyProtection="1">
      <alignment horizontal="center" vertical="center"/>
    </xf>
    <xf numFmtId="0" fontId="6" fillId="0" borderId="17" xfId="27" applyFont="1" applyBorder="1" applyAlignment="1">
      <alignment horizontal="center" vertical="center"/>
    </xf>
    <xf numFmtId="0" fontId="6" fillId="0" borderId="18" xfId="27" applyFont="1" applyBorder="1" applyAlignment="1">
      <alignment horizontal="center" vertical="center"/>
    </xf>
    <xf numFmtId="0" fontId="6" fillId="0" borderId="19" xfId="27" applyFont="1" applyBorder="1" applyAlignment="1">
      <alignment horizontal="center" vertical="center"/>
    </xf>
    <xf numFmtId="0" fontId="6" fillId="0" borderId="20" xfId="27" applyFont="1" applyBorder="1" applyAlignment="1">
      <alignment horizontal="center" vertical="center"/>
    </xf>
    <xf numFmtId="0" fontId="6" fillId="0" borderId="21" xfId="27" applyFont="1" applyBorder="1" applyAlignment="1">
      <alignment horizontal="center" vertical="center"/>
    </xf>
    <xf numFmtId="0" fontId="6" fillId="0" borderId="18" xfId="27" applyFont="1" applyBorder="1" applyAlignment="1">
      <alignment horizontal="left" vertical="center" wrapText="1"/>
    </xf>
    <xf numFmtId="0" fontId="30" fillId="0" borderId="0" xfId="0" applyFont="1"/>
    <xf numFmtId="0" fontId="12" fillId="4" borderId="20" xfId="0" applyFont="1" applyFill="1" applyBorder="1" applyAlignment="1">
      <alignment horizontal="center" vertical="center"/>
    </xf>
    <xf numFmtId="2" fontId="6" fillId="4" borderId="17" xfId="0" applyNumberFormat="1" applyFont="1" applyFill="1" applyBorder="1" applyAlignment="1">
      <alignment horizontal="center" vertical="center"/>
    </xf>
    <xf numFmtId="2" fontId="6" fillId="4" borderId="19" xfId="0" applyNumberFormat="1" applyFont="1" applyFill="1" applyBorder="1" applyAlignment="1">
      <alignment horizontal="center" vertical="center"/>
    </xf>
    <xf numFmtId="2" fontId="6" fillId="4" borderId="14" xfId="0" applyNumberFormat="1" applyFont="1" applyFill="1" applyBorder="1" applyAlignment="1">
      <alignment horizontal="center" vertical="center"/>
    </xf>
    <xf numFmtId="0" fontId="6" fillId="0" borderId="22" xfId="27" applyFont="1" applyBorder="1" applyAlignment="1">
      <alignment horizontal="right" vertical="center"/>
    </xf>
    <xf numFmtId="0" fontId="6" fillId="0" borderId="22" xfId="27" applyFont="1" applyBorder="1" applyAlignment="1">
      <alignment horizontal="left" vertical="center"/>
    </xf>
    <xf numFmtId="0" fontId="6" fillId="0" borderId="22" xfId="27" applyFont="1" applyBorder="1" applyAlignment="1">
      <alignment vertical="center"/>
    </xf>
    <xf numFmtId="0" fontId="6" fillId="0" borderId="13" xfId="27" applyFont="1" applyBorder="1" applyAlignment="1">
      <alignment horizontal="right" vertical="center"/>
    </xf>
    <xf numFmtId="0" fontId="6" fillId="0" borderId="7" xfId="27" applyFont="1" applyBorder="1" applyAlignment="1">
      <alignment horizontal="center" vertical="top" wrapText="1"/>
    </xf>
    <xf numFmtId="167" fontId="6" fillId="0" borderId="7" xfId="27" applyNumberFormat="1" applyFont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6" fillId="0" borderId="23" xfId="27" applyFont="1" applyBorder="1" applyAlignment="1">
      <alignment horizontal="center" vertical="center"/>
    </xf>
    <xf numFmtId="0" fontId="32" fillId="0" borderId="15" xfId="27" applyFont="1" applyBorder="1" applyAlignment="1">
      <alignment horizontal="center" vertical="center"/>
    </xf>
    <xf numFmtId="0" fontId="6" fillId="0" borderId="7" xfId="27" applyFont="1" applyBorder="1" applyAlignment="1">
      <alignment horizontal="left" vertical="center" wrapText="1"/>
    </xf>
    <xf numFmtId="168" fontId="6" fillId="4" borderId="0" xfId="27" applyNumberFormat="1" applyFont="1" applyFill="1" applyBorder="1" applyAlignment="1">
      <alignment horizontal="left" vertical="center"/>
    </xf>
    <xf numFmtId="49" fontId="4" fillId="0" borderId="0" xfId="27" applyNumberFormat="1" applyFont="1" applyBorder="1" applyAlignment="1">
      <alignment horizontal="left" vertical="center"/>
    </xf>
    <xf numFmtId="0" fontId="12" fillId="4" borderId="22" xfId="0" applyFont="1" applyFill="1" applyBorder="1" applyAlignment="1">
      <alignment vertical="center" wrapText="1"/>
    </xf>
    <xf numFmtId="0" fontId="6" fillId="0" borderId="10" xfId="27" applyFont="1" applyBorder="1" applyAlignment="1">
      <alignment vertical="center"/>
    </xf>
    <xf numFmtId="0" fontId="6" fillId="0" borderId="9" xfId="27" applyFont="1" applyBorder="1" applyAlignment="1">
      <alignment vertical="center"/>
    </xf>
    <xf numFmtId="0" fontId="12" fillId="4" borderId="16" xfId="0" applyFont="1" applyFill="1" applyBorder="1" applyAlignment="1">
      <alignment vertical="center" wrapText="1"/>
    </xf>
    <xf numFmtId="0" fontId="12" fillId="4" borderId="9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 wrapText="1"/>
    </xf>
    <xf numFmtId="0" fontId="6" fillId="0" borderId="16" xfId="27" applyFont="1" applyBorder="1" applyAlignment="1">
      <alignment vertical="center"/>
    </xf>
    <xf numFmtId="2" fontId="6" fillId="0" borderId="19" xfId="27" applyNumberFormat="1" applyFont="1" applyBorder="1" applyAlignment="1">
      <alignment horizontal="center" vertical="center"/>
    </xf>
    <xf numFmtId="0" fontId="32" fillId="0" borderId="11" xfId="27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27" applyFont="1" applyAlignment="1">
      <alignment horizontal="right" vertical="center"/>
    </xf>
    <xf numFmtId="0" fontId="6" fillId="0" borderId="18" xfId="27" applyFont="1" applyBorder="1" applyAlignment="1" applyProtection="1">
      <alignment horizontal="center" vertical="center" wrapText="1"/>
    </xf>
    <xf numFmtId="0" fontId="6" fillId="4" borderId="22" xfId="0" applyFont="1" applyFill="1" applyBorder="1" applyAlignment="1">
      <alignment horizontal="center" vertical="center"/>
    </xf>
    <xf numFmtId="0" fontId="6" fillId="0" borderId="13" xfId="27" applyFont="1" applyBorder="1" applyAlignment="1">
      <alignment horizontal="center" vertical="center"/>
    </xf>
    <xf numFmtId="49" fontId="6" fillId="4" borderId="22" xfId="0" applyNumberFormat="1" applyFont="1" applyFill="1" applyBorder="1" applyAlignment="1">
      <alignment horizontal="center" vertical="center" wrapText="1"/>
    </xf>
    <xf numFmtId="49" fontId="6" fillId="4" borderId="22" xfId="0" applyNumberFormat="1" applyFont="1" applyFill="1" applyBorder="1" applyAlignment="1">
      <alignment horizontal="center" vertical="center"/>
    </xf>
    <xf numFmtId="0" fontId="6" fillId="0" borderId="22" xfId="27" applyFont="1" applyBorder="1" applyAlignment="1">
      <alignment horizontal="center" vertical="center"/>
    </xf>
    <xf numFmtId="0" fontId="6" fillId="0" borderId="22" xfId="27" applyFont="1" applyBorder="1" applyAlignment="1" applyProtection="1">
      <alignment horizontal="center" vertical="center" wrapText="1"/>
    </xf>
    <xf numFmtId="2" fontId="6" fillId="0" borderId="3" xfId="27" applyNumberFormat="1" applyFont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Border="1" applyAlignment="1">
      <alignment horizontal="left" vertical="center"/>
    </xf>
    <xf numFmtId="2" fontId="6" fillId="0" borderId="0" xfId="27" applyNumberFormat="1" applyFont="1" applyAlignment="1">
      <alignment vertical="center"/>
    </xf>
    <xf numFmtId="2" fontId="12" fillId="4" borderId="12" xfId="0" applyNumberFormat="1" applyFont="1" applyFill="1" applyBorder="1" applyAlignment="1">
      <alignment horizontal="center" vertical="center"/>
    </xf>
    <xf numFmtId="2" fontId="6" fillId="0" borderId="11" xfId="27" applyNumberFormat="1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2" fontId="6" fillId="0" borderId="15" xfId="27" applyNumberFormat="1" applyFont="1" applyBorder="1" applyAlignment="1">
      <alignment horizontal="center" vertical="center"/>
    </xf>
    <xf numFmtId="2" fontId="6" fillId="0" borderId="12" xfId="27" applyNumberFormat="1" applyFont="1" applyBorder="1" applyAlignment="1">
      <alignment horizontal="center" vertical="center"/>
    </xf>
    <xf numFmtId="166" fontId="6" fillId="4" borderId="0" xfId="27" applyNumberFormat="1" applyFont="1" applyFill="1" applyBorder="1" applyAlignment="1">
      <alignment horizontal="center" vertical="center"/>
    </xf>
    <xf numFmtId="166" fontId="6" fillId="0" borderId="16" xfId="27" applyNumberFormat="1" applyFont="1" applyBorder="1" applyAlignment="1">
      <alignment horizontal="center" vertical="center" wrapText="1"/>
    </xf>
    <xf numFmtId="2" fontId="6" fillId="4" borderId="3" xfId="0" applyNumberFormat="1" applyFont="1" applyFill="1" applyBorder="1" applyAlignment="1">
      <alignment horizontal="center" vertical="center"/>
    </xf>
    <xf numFmtId="0" fontId="28" fillId="4" borderId="0" xfId="0" applyFont="1" applyFill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1" fontId="4" fillId="0" borderId="39" xfId="0" applyNumberFormat="1" applyFont="1" applyBorder="1" applyAlignment="1">
      <alignment horizontal="center" vertical="center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42" xfId="0" applyBorder="1" applyAlignment="1">
      <alignment wrapText="1"/>
    </xf>
    <xf numFmtId="0" fontId="0" fillId="0" borderId="44" xfId="0" applyBorder="1" applyAlignment="1">
      <alignment wrapText="1"/>
    </xf>
    <xf numFmtId="0" fontId="4" fillId="0" borderId="7" xfId="27" applyFont="1" applyBorder="1" applyAlignment="1">
      <alignment horizontal="left" vertical="center"/>
    </xf>
    <xf numFmtId="0" fontId="4" fillId="0" borderId="0" xfId="27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68" fontId="6" fillId="4" borderId="15" xfId="0" applyNumberFormat="1" applyFont="1" applyFill="1" applyBorder="1" applyAlignment="1">
      <alignment horizontal="center" vertical="center"/>
    </xf>
    <xf numFmtId="168" fontId="6" fillId="4" borderId="11" xfId="0" applyNumberFormat="1" applyFont="1" applyFill="1" applyBorder="1" applyAlignment="1">
      <alignment horizontal="center" vertical="center"/>
    </xf>
    <xf numFmtId="168" fontId="6" fillId="4" borderId="12" xfId="0" applyNumberFormat="1" applyFont="1" applyFill="1" applyBorder="1" applyAlignment="1">
      <alignment horizontal="center" vertical="center"/>
    </xf>
    <xf numFmtId="0" fontId="6" fillId="0" borderId="19" xfId="27" applyFont="1" applyBorder="1" applyAlignment="1">
      <alignment horizontal="center" vertical="center"/>
    </xf>
    <xf numFmtId="0" fontId="6" fillId="0" borderId="20" xfId="27" applyFont="1" applyBorder="1" applyAlignment="1">
      <alignment horizontal="center" vertical="center"/>
    </xf>
    <xf numFmtId="0" fontId="4" fillId="0" borderId="0" xfId="27" applyFont="1" applyBorder="1" applyAlignment="1">
      <alignment horizontal="right" vertical="center"/>
    </xf>
    <xf numFmtId="168" fontId="6" fillId="0" borderId="0" xfId="27" applyNumberFormat="1" applyFont="1" applyBorder="1" applyAlignment="1">
      <alignment horizontal="left" vertical="center"/>
    </xf>
    <xf numFmtId="0" fontId="6" fillId="0" borderId="13" xfId="27" applyFont="1" applyBorder="1" applyAlignment="1">
      <alignment horizontal="center" vertical="top" wrapText="1"/>
    </xf>
    <xf numFmtId="0" fontId="6" fillId="0" borderId="18" xfId="27" applyFont="1" applyBorder="1" applyAlignment="1">
      <alignment horizontal="center" vertical="top" wrapText="1"/>
    </xf>
    <xf numFmtId="0" fontId="6" fillId="0" borderId="14" xfId="27" applyFont="1" applyBorder="1" applyAlignment="1">
      <alignment horizontal="center" vertical="center"/>
    </xf>
    <xf numFmtId="0" fontId="6" fillId="0" borderId="21" xfId="27" applyFont="1" applyBorder="1" applyAlignment="1">
      <alignment horizontal="center" vertical="center"/>
    </xf>
    <xf numFmtId="0" fontId="6" fillId="0" borderId="24" xfId="27" applyFont="1" applyBorder="1" applyAlignment="1">
      <alignment horizontal="left" vertical="center"/>
    </xf>
    <xf numFmtId="0" fontId="6" fillId="0" borderId="27" xfId="27" applyFont="1" applyBorder="1" applyAlignment="1">
      <alignment horizontal="left" vertical="center"/>
    </xf>
    <xf numFmtId="0" fontId="6" fillId="0" borderId="25" xfId="27" applyFont="1" applyBorder="1" applyAlignment="1">
      <alignment horizontal="left" vertical="center"/>
    </xf>
    <xf numFmtId="0" fontId="6" fillId="0" borderId="13" xfId="27" applyFont="1" applyBorder="1" applyAlignment="1">
      <alignment horizontal="center" vertical="center" wrapText="1"/>
    </xf>
    <xf numFmtId="0" fontId="6" fillId="0" borderId="18" xfId="27" applyFont="1" applyBorder="1" applyAlignment="1">
      <alignment horizontal="center" vertical="center" wrapText="1"/>
    </xf>
    <xf numFmtId="0" fontId="6" fillId="0" borderId="7" xfId="27" applyFont="1" applyBorder="1" applyAlignment="1">
      <alignment horizontal="center" vertical="center" wrapText="1"/>
    </xf>
    <xf numFmtId="0" fontId="6" fillId="0" borderId="8" xfId="27" applyFont="1" applyBorder="1" applyAlignment="1">
      <alignment horizontal="center" vertical="center" wrapText="1"/>
    </xf>
    <xf numFmtId="49" fontId="6" fillId="4" borderId="23" xfId="0" applyNumberFormat="1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23" xfId="0" applyNumberFormat="1" applyFont="1" applyFill="1" applyBorder="1" applyAlignment="1">
      <alignment horizontal="center" vertical="center"/>
    </xf>
    <xf numFmtId="49" fontId="6" fillId="4" borderId="19" xfId="0" applyNumberFormat="1" applyFont="1" applyFill="1" applyBorder="1" applyAlignment="1">
      <alignment horizontal="center" vertical="center"/>
    </xf>
    <xf numFmtId="49" fontId="6" fillId="4" borderId="20" xfId="0" applyNumberFormat="1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0" borderId="15" xfId="27" applyFont="1" applyBorder="1" applyAlignment="1">
      <alignment horizontal="center" vertical="center"/>
    </xf>
    <xf numFmtId="0" fontId="6" fillId="0" borderId="11" xfId="27" applyFont="1" applyBorder="1" applyAlignment="1">
      <alignment horizontal="center" vertical="center"/>
    </xf>
    <xf numFmtId="0" fontId="6" fillId="0" borderId="3" xfId="27" applyFont="1" applyBorder="1" applyAlignment="1">
      <alignment horizontal="center" vertical="center"/>
    </xf>
    <xf numFmtId="0" fontId="6" fillId="0" borderId="9" xfId="27" applyFont="1" applyBorder="1" applyAlignment="1">
      <alignment horizontal="center" vertical="center"/>
    </xf>
    <xf numFmtId="0" fontId="6" fillId="0" borderId="16" xfId="27" applyFont="1" applyBorder="1" applyAlignment="1">
      <alignment horizontal="center" vertical="center"/>
    </xf>
    <xf numFmtId="0" fontId="6" fillId="0" borderId="17" xfId="27" applyFont="1" applyBorder="1" applyAlignment="1">
      <alignment horizontal="center" vertical="center"/>
    </xf>
    <xf numFmtId="0" fontId="6" fillId="0" borderId="23" xfId="27" applyFont="1" applyBorder="1" applyAlignment="1">
      <alignment horizontal="center" vertical="center"/>
    </xf>
    <xf numFmtId="0" fontId="6" fillId="0" borderId="27" xfId="27" applyFont="1" applyBorder="1" applyAlignment="1">
      <alignment horizontal="right" vertical="center" wrapText="1"/>
    </xf>
    <xf numFmtId="0" fontId="6" fillId="0" borderId="0" xfId="27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5" fillId="0" borderId="13" xfId="27" applyFont="1" applyBorder="1" applyAlignment="1">
      <alignment horizontal="center" vertical="center"/>
    </xf>
    <xf numFmtId="0" fontId="5" fillId="0" borderId="18" xfId="27" applyFont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10" fillId="0" borderId="24" xfId="27" applyFont="1" applyBorder="1" applyAlignment="1">
      <alignment horizontal="center" vertical="center" wrapText="1"/>
    </xf>
    <xf numFmtId="0" fontId="10" fillId="0" borderId="25" xfId="27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5" fillId="0" borderId="22" xfId="27" applyFont="1" applyBorder="1" applyAlignment="1">
      <alignment horizontal="center" vertical="center"/>
    </xf>
    <xf numFmtId="0" fontId="5" fillId="0" borderId="24" xfId="27" applyFont="1" applyBorder="1" applyAlignment="1">
      <alignment horizontal="center" vertical="center"/>
    </xf>
    <xf numFmtId="0" fontId="5" fillId="0" borderId="27" xfId="27" applyFont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6" fillId="0" borderId="19" xfId="27" applyFont="1" applyBorder="1" applyAlignment="1">
      <alignment horizontal="left" vertical="center"/>
    </xf>
    <xf numFmtId="0" fontId="6" fillId="0" borderId="14" xfId="27" applyFont="1" applyBorder="1" applyAlignment="1">
      <alignment horizontal="left" vertical="center"/>
    </xf>
    <xf numFmtId="0" fontId="6" fillId="0" borderId="36" xfId="27" applyFont="1" applyBorder="1" applyAlignment="1">
      <alignment horizontal="center" vertical="center"/>
    </xf>
    <xf numFmtId="0" fontId="6" fillId="0" borderId="38" xfId="27" applyFont="1" applyBorder="1" applyAlignment="1">
      <alignment horizontal="center" vertical="center"/>
    </xf>
    <xf numFmtId="2" fontId="6" fillId="0" borderId="11" xfId="27" applyNumberFormat="1" applyFont="1" applyBorder="1" applyAlignment="1">
      <alignment horizontal="center" vertical="center"/>
    </xf>
    <xf numFmtId="0" fontId="6" fillId="0" borderId="12" xfId="27" applyFon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6" fillId="4" borderId="36" xfId="27" applyFont="1" applyFill="1" applyBorder="1" applyAlignment="1">
      <alignment horizontal="center" vertical="center"/>
    </xf>
    <xf numFmtId="0" fontId="4" fillId="0" borderId="6" xfId="27" applyFont="1" applyBorder="1" applyAlignment="1">
      <alignment horizontal="center" vertical="center"/>
    </xf>
    <xf numFmtId="0" fontId="4" fillId="0" borderId="2" xfId="27" applyFont="1" applyBorder="1" applyAlignment="1">
      <alignment horizontal="center" vertical="center"/>
    </xf>
    <xf numFmtId="0" fontId="4" fillId="0" borderId="26" xfId="27" applyFont="1" applyBorder="1" applyAlignment="1">
      <alignment horizontal="center" vertical="center"/>
    </xf>
    <xf numFmtId="0" fontId="6" fillId="0" borderId="37" xfId="27" applyFont="1" applyBorder="1" applyAlignment="1">
      <alignment horizontal="center" vertical="center"/>
    </xf>
    <xf numFmtId="0" fontId="6" fillId="0" borderId="13" xfId="27" applyFont="1" applyBorder="1" applyAlignment="1">
      <alignment horizontal="left" vertical="center"/>
    </xf>
    <xf numFmtId="0" fontId="6" fillId="0" borderId="31" xfId="27" applyFont="1" applyBorder="1" applyAlignment="1">
      <alignment horizontal="left" vertical="center"/>
    </xf>
    <xf numFmtId="0" fontId="6" fillId="0" borderId="30" xfId="27" applyFont="1" applyFill="1" applyBorder="1" applyAlignment="1">
      <alignment horizontal="left" vertical="center"/>
    </xf>
    <xf numFmtId="0" fontId="6" fillId="0" borderId="31" xfId="27" applyFont="1" applyFill="1" applyBorder="1" applyAlignment="1">
      <alignment horizontal="left" vertical="center"/>
    </xf>
    <xf numFmtId="0" fontId="6" fillId="0" borderId="9" xfId="27" applyFont="1" applyBorder="1" applyAlignment="1">
      <alignment horizontal="left" vertical="center" wrapText="1"/>
    </xf>
    <xf numFmtId="0" fontId="6" fillId="0" borderId="29" xfId="27" applyFont="1" applyBorder="1" applyAlignment="1">
      <alignment horizontal="left" vertical="center" wrapText="1"/>
    </xf>
    <xf numFmtId="2" fontId="6" fillId="0" borderId="28" xfId="27" applyNumberFormat="1" applyFont="1" applyBorder="1" applyAlignment="1">
      <alignment horizontal="center" vertical="center"/>
    </xf>
    <xf numFmtId="2" fontId="6" fillId="0" borderId="29" xfId="27" applyNumberFormat="1" applyFont="1" applyBorder="1" applyAlignment="1">
      <alignment horizontal="center" vertical="center"/>
    </xf>
    <xf numFmtId="0" fontId="6" fillId="0" borderId="32" xfId="27" applyFont="1" applyBorder="1" applyAlignment="1">
      <alignment horizontal="center" vertical="center"/>
    </xf>
    <xf numFmtId="0" fontId="6" fillId="0" borderId="33" xfId="27" applyFont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6" fillId="0" borderId="16" xfId="27" applyFont="1" applyBorder="1" applyAlignment="1">
      <alignment horizontal="left" vertical="center" wrapText="1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5" fillId="0" borderId="25" xfId="27" applyFont="1" applyBorder="1" applyAlignment="1">
      <alignment horizontal="center" vertical="center"/>
    </xf>
    <xf numFmtId="2" fontId="4" fillId="4" borderId="0" xfId="0" applyNumberFormat="1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right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6" fillId="0" borderId="7" xfId="27" applyFont="1" applyBorder="1" applyAlignment="1">
      <alignment horizontal="left" vertical="center"/>
    </xf>
    <xf numFmtId="0" fontId="6" fillId="0" borderId="0" xfId="27" applyFont="1" applyBorder="1" applyAlignment="1">
      <alignment horizontal="left" vertical="center"/>
    </xf>
    <xf numFmtId="0" fontId="6" fillId="0" borderId="8" xfId="27" applyFont="1" applyBorder="1" applyAlignment="1">
      <alignment horizontal="left" vertical="center"/>
    </xf>
    <xf numFmtId="2" fontId="28" fillId="4" borderId="0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6" fontId="0" fillId="0" borderId="39" xfId="0" applyNumberForma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66" fontId="0" fillId="0" borderId="39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60">
    <cellStyle name="Calc Currency (0)" xfId="1"/>
    <cellStyle name="Comma  - Style1" xfId="2"/>
    <cellStyle name="Curren - Style3" xfId="3"/>
    <cellStyle name="Curren - Style4" xfId="4"/>
    <cellStyle name="Date" xfId="5"/>
    <cellStyle name="Fixed" xfId="6"/>
    <cellStyle name="Grey" xfId="7"/>
    <cellStyle name="Header1" xfId="8"/>
    <cellStyle name="Header2" xfId="9"/>
    <cellStyle name="Heading1" xfId="10"/>
    <cellStyle name="Heading2" xfId="11"/>
    <cellStyle name="Input [yellow]" xfId="12"/>
    <cellStyle name="Milliers [0]_AR1194" xfId="13"/>
    <cellStyle name="Milliers_AR1194" xfId="14"/>
    <cellStyle name="Monétaire [0]_AR1194" xfId="15"/>
    <cellStyle name="Monétaire_AR1194" xfId="16"/>
    <cellStyle name="Normal" xfId="0" builtinId="0"/>
    <cellStyle name="Normal - Style1" xfId="17"/>
    <cellStyle name="Normal - Style5" xfId="18"/>
    <cellStyle name="Normal - スタイル1" xfId="19"/>
    <cellStyle name="Normal - スタイル2" xfId="20"/>
    <cellStyle name="Normal - スタイル3" xfId="21"/>
    <cellStyle name="Normal - スタイル4" xfId="22"/>
    <cellStyle name="Normal - スタイル5" xfId="23"/>
    <cellStyle name="Normal - スタイル6" xfId="24"/>
    <cellStyle name="Normal - スタイル7" xfId="25"/>
    <cellStyle name="Normal - スタイル8" xfId="26"/>
    <cellStyle name="Normal_1.0 AUDIT FORMATS (3)" xfId="27"/>
    <cellStyle name="Percent [2]" xfId="28"/>
    <cellStyle name="PERCENTAGE" xfId="29"/>
    <cellStyle name="Ｐﾏﾄ原紙" xfId="30"/>
    <cellStyle name="Standard_VDA6.3 Auditfragen leer" xfId="31"/>
    <cellStyle name="Style 1" xfId="32"/>
    <cellStyle name="Total" xfId="33" builtinId="25" customBuiltin="1"/>
    <cellStyle name="ハイパーリンク_2002.11.5MSIL出張報告書 安田" xfId="34"/>
    <cellStyle name="똿뗦먛귟 [0.00]_PRODUCT DETAIL Q1" xfId="35"/>
    <cellStyle name="똿뗦먛귟_PRODUCT DETAIL Q1" xfId="36"/>
    <cellStyle name="믅됞 [0.00]_PRODUCT DETAIL Q1" xfId="37"/>
    <cellStyle name="믅됞_PRODUCT DETAIL Q1" xfId="38"/>
    <cellStyle name="뷭?_BOOKSHIP" xfId="39"/>
    <cellStyle name="콤마 [0]_1202_(3) 예상실적 종합 " xfId="40"/>
    <cellStyle name="콤마_12월 진도현황 " xfId="41"/>
    <cellStyle name="통화 [0]_CODE" xfId="42"/>
    <cellStyle name="통화_CODE" xfId="43"/>
    <cellStyle name="표준_3개월계획" xfId="44"/>
    <cellStyle name="数値" xfId="45"/>
    <cellStyle name="文字列" xfId="46"/>
    <cellStyle name="文字列折り返し" xfId="47"/>
    <cellStyle name="日付" xfId="48"/>
    <cellStyle name="普通_ZHH02.XLS" xfId="49"/>
    <cellStyle name="月間Ｐﾏﾄ" xfId="50"/>
    <cellStyle name="桁区切り [0.00]_SM15ﾄﾙｸ校正" xfId="51"/>
    <cellStyle name="桁区切り_SM15ﾄﾙｸ校正" xfId="52"/>
    <cellStyle name="標準_03Mｱｺｰﾄﾞ製品MMVCMPC検証_萩原課長出張ﾚﾎﾟ" xfId="53"/>
    <cellStyle name="標準106612" xfId="54"/>
    <cellStyle name="標準11" xfId="55"/>
    <cellStyle name="準標準" xfId="56"/>
    <cellStyle name="表示済みのハイパーリンク_2002.11.5MSIL出張報告書 安田" xfId="57"/>
    <cellStyle name="通貨 [0.00]_SM15ﾄﾙｸ校正" xfId="58"/>
    <cellStyle name="通貨_SM15ﾄﾙｸ校正" xfId="59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26</xdr:row>
      <xdr:rowOff>57150</xdr:rowOff>
    </xdr:from>
    <xdr:to>
      <xdr:col>6</xdr:col>
      <xdr:colOff>914400</xdr:colOff>
      <xdr:row>28</xdr:row>
      <xdr:rowOff>9525</xdr:rowOff>
    </xdr:to>
    <xdr:pic>
      <xdr:nvPicPr>
        <xdr:cNvPr id="1898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05200" y="5876925"/>
          <a:ext cx="8477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4</xdr:col>
      <xdr:colOff>38100</xdr:colOff>
      <xdr:row>37</xdr:row>
      <xdr:rowOff>47625</xdr:rowOff>
    </xdr:from>
    <xdr:to>
      <xdr:col>4</xdr:col>
      <xdr:colOff>228600</xdr:colOff>
      <xdr:row>37</xdr:row>
      <xdr:rowOff>238125</xdr:rowOff>
    </xdr:to>
    <xdr:pic>
      <xdr:nvPicPr>
        <xdr:cNvPr id="189825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-3810" t="19608" r="84761" b="41176"/>
        <a:stretch>
          <a:fillRect/>
        </a:stretch>
      </xdr:blipFill>
      <xdr:spPr bwMode="auto">
        <a:xfrm>
          <a:off x="2409825" y="8315325"/>
          <a:ext cx="1905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>
    <xdr:from>
      <xdr:col>4</xdr:col>
      <xdr:colOff>276225</xdr:colOff>
      <xdr:row>37</xdr:row>
      <xdr:rowOff>85725</xdr:rowOff>
    </xdr:from>
    <xdr:to>
      <xdr:col>4</xdr:col>
      <xdr:colOff>361950</xdr:colOff>
      <xdr:row>37</xdr:row>
      <xdr:rowOff>285750</xdr:rowOff>
    </xdr:to>
    <xdr:sp macro="" textlink="">
      <xdr:nvSpPr>
        <xdr:cNvPr id="189826" name="Line 30"/>
        <xdr:cNvSpPr>
          <a:spLocks noChangeShapeType="1"/>
        </xdr:cNvSpPr>
      </xdr:nvSpPr>
      <xdr:spPr bwMode="auto">
        <a:xfrm flipV="1">
          <a:off x="2647950" y="8353425"/>
          <a:ext cx="85725" cy="2000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333375</xdr:colOff>
      <xdr:row>37</xdr:row>
      <xdr:rowOff>114300</xdr:rowOff>
    </xdr:from>
    <xdr:to>
      <xdr:col>5</xdr:col>
      <xdr:colOff>171450</xdr:colOff>
      <xdr:row>37</xdr:row>
      <xdr:rowOff>257175</xdr:rowOff>
    </xdr:to>
    <xdr:grpSp>
      <xdr:nvGrpSpPr>
        <xdr:cNvPr id="189827" name="Group 35"/>
        <xdr:cNvGrpSpPr>
          <a:grpSpLocks/>
        </xdr:cNvGrpSpPr>
      </xdr:nvGrpSpPr>
      <xdr:grpSpPr bwMode="auto">
        <a:xfrm>
          <a:off x="2705100" y="8382000"/>
          <a:ext cx="352425" cy="142875"/>
          <a:chOff x="366" y="912"/>
          <a:chExt cx="37" cy="15"/>
        </a:xfrm>
      </xdr:grpSpPr>
      <xdr:sp macro="" textlink="">
        <xdr:nvSpPr>
          <xdr:cNvPr id="189829" name="Line 32"/>
          <xdr:cNvSpPr>
            <a:spLocks noChangeShapeType="1"/>
          </xdr:cNvSpPr>
        </xdr:nvSpPr>
        <xdr:spPr bwMode="auto">
          <a:xfrm>
            <a:off x="366" y="922"/>
            <a:ext cx="10" cy="5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89830" name="Line 33"/>
          <xdr:cNvSpPr>
            <a:spLocks noChangeShapeType="1"/>
          </xdr:cNvSpPr>
        </xdr:nvSpPr>
        <xdr:spPr bwMode="auto">
          <a:xfrm flipV="1">
            <a:off x="376" y="912"/>
            <a:ext cx="2" cy="15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89831" name="Line 34"/>
          <xdr:cNvSpPr>
            <a:spLocks noChangeShapeType="1"/>
          </xdr:cNvSpPr>
        </xdr:nvSpPr>
        <xdr:spPr bwMode="auto">
          <a:xfrm>
            <a:off x="378" y="912"/>
            <a:ext cx="25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7</xdr:col>
      <xdr:colOff>123825</xdr:colOff>
      <xdr:row>0</xdr:row>
      <xdr:rowOff>57150</xdr:rowOff>
    </xdr:from>
    <xdr:to>
      <xdr:col>8</xdr:col>
      <xdr:colOff>133350</xdr:colOff>
      <xdr:row>1</xdr:row>
      <xdr:rowOff>9525</xdr:rowOff>
    </xdr:to>
    <xdr:pic>
      <xdr:nvPicPr>
        <xdr:cNvPr id="189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05350" y="57150"/>
          <a:ext cx="10668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28575</xdr:rowOff>
    </xdr:from>
    <xdr:to>
      <xdr:col>4</xdr:col>
      <xdr:colOff>1200150</xdr:colOff>
      <xdr:row>1</xdr:row>
      <xdr:rowOff>28575</xdr:rowOff>
    </xdr:to>
    <xdr:pic>
      <xdr:nvPicPr>
        <xdr:cNvPr id="191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72025" y="28575"/>
          <a:ext cx="10668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3</xdr:row>
      <xdr:rowOff>266700</xdr:rowOff>
    </xdr:from>
    <xdr:to>
      <xdr:col>3</xdr:col>
      <xdr:colOff>247650</xdr:colOff>
      <xdr:row>3</xdr:row>
      <xdr:rowOff>371475</xdr:rowOff>
    </xdr:to>
    <xdr:sp macro="" textlink="">
      <xdr:nvSpPr>
        <xdr:cNvPr id="192624" name="PubTriangle"/>
        <xdr:cNvSpPr>
          <a:spLocks noEditPoints="1" noChangeArrowheads="1"/>
        </xdr:cNvSpPr>
      </xdr:nvSpPr>
      <xdr:spPr bwMode="auto">
        <a:xfrm rot="8062679">
          <a:off x="1362075" y="933450"/>
          <a:ext cx="104775" cy="104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8100 w 21600"/>
            <a:gd name="T19" fmla="*/ 5400 h 21600"/>
            <a:gd name="T20" fmla="*/ 16200 w 21600"/>
            <a:gd name="T21" fmla="*/ 13500 h 2160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600" h="21600">
              <a:moveTo>
                <a:pt x="10800" y="0"/>
              </a:moveTo>
              <a:lnTo>
                <a:pt x="0" y="21600"/>
              </a:lnTo>
              <a:lnTo>
                <a:pt x="21600" y="10800"/>
              </a:lnTo>
              <a:lnTo>
                <a:pt x="10800" y="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  <xdr:twoCellAnchor>
    <xdr:from>
      <xdr:col>12</xdr:col>
      <xdr:colOff>28575</xdr:colOff>
      <xdr:row>0</xdr:row>
      <xdr:rowOff>47625</xdr:rowOff>
    </xdr:from>
    <xdr:to>
      <xdr:col>12</xdr:col>
      <xdr:colOff>962025</xdr:colOff>
      <xdr:row>1</xdr:row>
      <xdr:rowOff>19050</xdr:rowOff>
    </xdr:to>
    <xdr:pic>
      <xdr:nvPicPr>
        <xdr:cNvPr id="192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0" y="47625"/>
          <a:ext cx="9334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Prod%20Devp%20GM\Reports\Sp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ltysystem2-p2\Ashwini%20Working%20Dir%20on%20Qualitysystem2%20-%20P2\Documents%20and%20Settings\Systems1\Desktop\Product%20audi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dreaz\FLOW_PR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My%20documents\4-Wheeler\Maruti\Alto%20Wiper\MSA_Verni_rr%20%20%20%20%20%20%20%20%20%20%20%20%20WagonR%20F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DOCU~1\WAR\SPC.WAR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9983;&#35430;&#23455;&#26045;&#36890;&#30693;&#26360;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D\D5\T1\NAKAMURA\&#25216;&#34899;&#35336;&#3163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t_shaftwm21"/>
      <sheetName val="com_cutWm21"/>
      <sheetName val="com_defwm21"/>
      <sheetName val="J"/>
      <sheetName val="Model-B_Wip"/>
      <sheetName val="bearing"/>
      <sheetName val="com_diaEw5"/>
      <sheetName val="com_defEw5"/>
      <sheetName val="ins_distEw5"/>
      <sheetName val="Ew5 core"/>
      <sheetName val="Ew5_def"/>
      <sheetName val="defknr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ough"/>
    </sheetNames>
    <sheetDataSet>
      <sheetData sheetId="0"/>
      <sheetData sheetId="1" refreshError="1">
        <row r="7">
          <cell r="F7">
            <v>17.202000000000002</v>
          </cell>
          <cell r="G7">
            <v>17.204999999999998</v>
          </cell>
          <cell r="H7">
            <v>17.198</v>
          </cell>
        </row>
        <row r="8">
          <cell r="F8">
            <v>17.207000000000001</v>
          </cell>
          <cell r="G8">
            <v>17.206</v>
          </cell>
          <cell r="H8">
            <v>17.199000000000002</v>
          </cell>
        </row>
        <row r="9">
          <cell r="F9">
            <v>17.204000000000001</v>
          </cell>
          <cell r="G9">
            <v>17.207000000000001</v>
          </cell>
          <cell r="H9">
            <v>17.204000000000001</v>
          </cell>
        </row>
        <row r="10">
          <cell r="F10">
            <v>17.201000000000001</v>
          </cell>
          <cell r="G10">
            <v>17.204000000000001</v>
          </cell>
          <cell r="H10">
            <v>17.206</v>
          </cell>
        </row>
        <row r="11">
          <cell r="F11">
            <v>17.206</v>
          </cell>
          <cell r="G11">
            <v>17.202000000000002</v>
          </cell>
          <cell r="H11">
            <v>17.204000000000001</v>
          </cell>
        </row>
      </sheetData>
      <sheetData sheetId="2"/>
      <sheetData sheetId="3" refreshError="1">
        <row r="22">
          <cell r="AL22">
            <v>4.6508000000000003</v>
          </cell>
          <cell r="AM22">
            <v>4.6508000000000003</v>
          </cell>
          <cell r="AN22">
            <v>4.6508000000000003</v>
          </cell>
          <cell r="AO22">
            <v>4.6508000000000003</v>
          </cell>
          <cell r="AP22">
            <v>4.6508000000000003</v>
          </cell>
          <cell r="AQ22">
            <v>4.6508000000000003</v>
          </cell>
          <cell r="AR22">
            <v>4.6508000000000003</v>
          </cell>
          <cell r="AS22">
            <v>4.6508000000000003</v>
          </cell>
          <cell r="AT22">
            <v>4.6508000000000003</v>
          </cell>
          <cell r="AU22">
            <v>4.6508000000000003</v>
          </cell>
          <cell r="AV22">
            <v>4.6508000000000003</v>
          </cell>
          <cell r="AW22">
            <v>4.6508000000000003</v>
          </cell>
          <cell r="AX22">
            <v>4.6508000000000003</v>
          </cell>
          <cell r="AY22">
            <v>4.6508000000000003</v>
          </cell>
          <cell r="AZ22">
            <v>4.6508000000000003</v>
          </cell>
          <cell r="BA22">
            <v>4.6508000000000003</v>
          </cell>
          <cell r="BB22">
            <v>4.6508000000000003</v>
          </cell>
          <cell r="BC22">
            <v>4.6508000000000003</v>
          </cell>
          <cell r="BD22">
            <v>4.6508000000000003</v>
          </cell>
          <cell r="BE22">
            <v>4.6508000000000003</v>
          </cell>
        </row>
        <row r="23"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6">
          <cell r="E6">
            <v>2</v>
          </cell>
          <cell r="F6">
            <v>4</v>
          </cell>
          <cell r="G6">
            <v>6</v>
          </cell>
          <cell r="H6">
            <v>8</v>
          </cell>
          <cell r="I6">
            <v>10</v>
          </cell>
          <cell r="J6">
            <v>12</v>
          </cell>
          <cell r="K6">
            <v>14</v>
          </cell>
          <cell r="L6">
            <v>16</v>
          </cell>
          <cell r="M6">
            <v>18</v>
          </cell>
          <cell r="N6">
            <v>20</v>
          </cell>
          <cell r="O6">
            <v>22</v>
          </cell>
          <cell r="P6">
            <v>24</v>
          </cell>
          <cell r="Q6">
            <v>26</v>
          </cell>
          <cell r="R6">
            <v>28</v>
          </cell>
          <cell r="S6">
            <v>30</v>
          </cell>
          <cell r="T6">
            <v>32</v>
          </cell>
          <cell r="U6">
            <v>34</v>
          </cell>
          <cell r="V6">
            <v>36</v>
          </cell>
          <cell r="W6">
            <v>38</v>
          </cell>
          <cell r="X6">
            <v>40</v>
          </cell>
        </row>
        <row r="7">
          <cell r="E7">
            <v>2</v>
          </cell>
          <cell r="F7">
            <v>2</v>
          </cell>
          <cell r="G7">
            <v>4</v>
          </cell>
          <cell r="H7">
            <v>2</v>
          </cell>
          <cell r="I7">
            <v>8</v>
          </cell>
          <cell r="J7">
            <v>11</v>
          </cell>
          <cell r="K7">
            <v>3</v>
          </cell>
          <cell r="L7">
            <v>1</v>
          </cell>
          <cell r="M7">
            <v>5</v>
          </cell>
          <cell r="N7">
            <v>8</v>
          </cell>
          <cell r="O7">
            <v>12</v>
          </cell>
          <cell r="P7">
            <v>5</v>
          </cell>
          <cell r="Q7">
            <v>8</v>
          </cell>
          <cell r="R7">
            <v>6</v>
          </cell>
          <cell r="S7">
            <v>15</v>
          </cell>
          <cell r="T7">
            <v>1</v>
          </cell>
          <cell r="U7">
            <v>2</v>
          </cell>
          <cell r="V7">
            <v>3</v>
          </cell>
          <cell r="W7">
            <v>1</v>
          </cell>
          <cell r="X7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M-13仕様一覧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ORMAT 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0"/>
      <sheetName val="Sheet2"/>
      <sheetName val="Sheet1"/>
    </sheetNames>
    <sheetDataSet>
      <sheetData sheetId="0" refreshError="1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es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K1" t="str">
            <v xml:space="preserve"> </v>
          </cell>
          <cell r="L1" t="str">
            <v>LCL</v>
          </cell>
        </row>
        <row r="2">
          <cell r="K2">
            <v>1</v>
          </cell>
          <cell r="L2">
            <v>101.58497311111111</v>
          </cell>
        </row>
        <row r="3">
          <cell r="K3">
            <v>2</v>
          </cell>
          <cell r="L3">
            <v>101.58497311111111</v>
          </cell>
        </row>
        <row r="4">
          <cell r="K4">
            <v>3</v>
          </cell>
          <cell r="L4">
            <v>101.58497311111111</v>
          </cell>
        </row>
        <row r="5">
          <cell r="K5">
            <v>4</v>
          </cell>
          <cell r="L5">
            <v>101.58497311111111</v>
          </cell>
        </row>
        <row r="6">
          <cell r="K6">
            <v>5</v>
          </cell>
          <cell r="L6">
            <v>101.58497311111111</v>
          </cell>
        </row>
        <row r="7">
          <cell r="K7">
            <v>6</v>
          </cell>
          <cell r="L7">
            <v>101.58497311111111</v>
          </cell>
        </row>
        <row r="8">
          <cell r="K8">
            <v>7</v>
          </cell>
          <cell r="L8">
            <v>101.58497311111111</v>
          </cell>
        </row>
        <row r="9">
          <cell r="K9">
            <v>8</v>
          </cell>
          <cell r="L9">
            <v>101.58497311111111</v>
          </cell>
        </row>
        <row r="10">
          <cell r="K10">
            <v>9</v>
          </cell>
          <cell r="L10">
            <v>101.58497311111111</v>
          </cell>
        </row>
        <row r="11">
          <cell r="K11">
            <v>10</v>
          </cell>
          <cell r="L11">
            <v>101.58497311111111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WM2x Worm bend"/>
      <sheetName val="balance.spc.01.00"/>
      <sheetName val="2X cutting.08.99 "/>
      <sheetName val="ew5 cutting.08.99"/>
      <sheetName val="pm1 axial play"/>
      <sheetName val="pm5c fan perpend."/>
      <sheetName val="EW5 CASING PLAST"/>
      <sheetName val="casing-zen"/>
      <sheetName val="EW5 CASING (2)"/>
      <sheetName val="EW5 ZEN CASING CRAFT"/>
      <sheetName val="EW5 ZEN CASING (3)"/>
      <sheetName val="EW5 CASING AUTO"/>
      <sheetName val="EW5 CORE"/>
      <sheetName val="SHINK AVERY.CAR"/>
      <sheetName val="T.blcok pull load"/>
      <sheetName val="Sheet1"/>
      <sheetName val="Sheet2"/>
      <sheetName val="Sheet3"/>
      <sheetName val="Sheet4"/>
      <sheetName val="EW5 INSULR to SHAFT "/>
      <sheetName val="EW5 INSULR.SPC"/>
      <sheetName val="ew5 cutting"/>
      <sheetName val="comm cut def"/>
      <sheetName val="comm to ins"/>
      <sheetName val="Sheet11"/>
      <sheetName val="Sheet12"/>
      <sheetName val="Sheet13"/>
      <sheetName val="Sheet14"/>
      <sheetName val="Sheet15"/>
      <sheetName val="Sheet16"/>
      <sheetName val="pm5c fan perpend. (M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ﾒｲﾝﾒﾆｭｰ"/>
    </sheetNames>
    <sheetDataSet>
      <sheetData sheetId="0"/>
      <sheetData sheetId="1" refreshError="1">
        <row r="2">
          <cell r="D2" t="str">
            <v>96451002210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個別提案"/>
    </sheetNames>
    <definedNames>
      <definedName name="一覧戻り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RUTCH"/>
      <sheetName val="富士新Eng用SM-8233"/>
      <sheetName val="富士新Eng用SM-13237"/>
    </sheetNames>
    <sheetDataSet>
      <sheetData sheetId="0" refreshError="1">
        <row r="13">
          <cell r="C13">
            <v>0.10466470884116208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工程月次"/>
    </sheetNames>
    <definedNames>
      <definedName name="工程改善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1A0000"/>
        </a:solidFill>
        <a:ln w="317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1A0000"/>
        </a:solidFill>
        <a:ln w="317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showGridLines="0" view="pageBreakPreview" zoomScaleNormal="100" zoomScaleSheetLayoutView="100" workbookViewId="0">
      <selection activeCell="E51" sqref="E51"/>
    </sheetView>
  </sheetViews>
  <sheetFormatPr defaultColWidth="10" defaultRowHeight="12.75"/>
  <cols>
    <col min="1" max="1" width="5" style="1" customWidth="1"/>
    <col min="2" max="2" width="12.625" style="1" customWidth="1"/>
    <col min="3" max="5" width="6.75" style="1" customWidth="1"/>
    <col min="6" max="6" width="7.25" style="1" customWidth="1"/>
    <col min="7" max="7" width="15" style="1" customWidth="1"/>
    <col min="8" max="8" width="13.875" style="1" customWidth="1"/>
    <col min="9" max="9" width="3.625" style="1" customWidth="1"/>
    <col min="10" max="10" width="3.875" style="1" customWidth="1"/>
    <col min="11" max="12" width="10" style="1" customWidth="1"/>
    <col min="13" max="13" width="13.125" style="1" customWidth="1"/>
    <col min="14" max="16384" width="10" style="1"/>
  </cols>
  <sheetData>
    <row r="1" spans="1:14" ht="20.100000000000001" customHeight="1">
      <c r="A1" s="200" t="s">
        <v>7</v>
      </c>
      <c r="B1" s="212"/>
      <c r="C1" s="212"/>
      <c r="D1" s="212"/>
      <c r="E1" s="212"/>
      <c r="F1" s="212"/>
      <c r="G1" s="212"/>
      <c r="H1" s="200"/>
      <c r="I1" s="201"/>
      <c r="J1" s="3"/>
    </row>
    <row r="2" spans="1:14" ht="11.25" customHeight="1">
      <c r="A2" s="213"/>
      <c r="B2" s="214"/>
      <c r="C2" s="214"/>
      <c r="D2" s="214"/>
      <c r="E2" s="214"/>
      <c r="F2" s="214"/>
      <c r="G2" s="214"/>
      <c r="H2" s="204" t="s">
        <v>57</v>
      </c>
      <c r="I2" s="205"/>
      <c r="J2" s="3"/>
    </row>
    <row r="3" spans="1:14" ht="11.25" customHeight="1">
      <c r="A3" s="23"/>
      <c r="B3" s="53"/>
      <c r="C3" s="24"/>
      <c r="D3" s="24"/>
      <c r="E3" s="25"/>
      <c r="F3" s="25"/>
      <c r="G3" s="25"/>
      <c r="H3" s="25"/>
      <c r="I3" s="26"/>
      <c r="J3" s="3"/>
    </row>
    <row r="4" spans="1:14" ht="18" customHeight="1">
      <c r="A4" s="198" t="s">
        <v>26</v>
      </c>
      <c r="B4" s="199"/>
      <c r="C4" s="202" t="s">
        <v>83</v>
      </c>
      <c r="D4" s="202"/>
      <c r="E4" s="202"/>
      <c r="F4" s="202"/>
      <c r="G4" s="18" t="s">
        <v>27</v>
      </c>
      <c r="H4" s="31"/>
      <c r="I4" s="73"/>
      <c r="J4" s="3"/>
    </row>
    <row r="5" spans="1:14" ht="10.5" customHeight="1">
      <c r="A5" s="2"/>
      <c r="B5" s="3"/>
      <c r="C5" s="31"/>
      <c r="D5" s="32"/>
      <c r="E5" s="5"/>
      <c r="F5" s="5"/>
      <c r="G5" s="5"/>
      <c r="H5" s="5"/>
      <c r="I5" s="6"/>
      <c r="J5" s="3"/>
    </row>
    <row r="6" spans="1:14" ht="18" customHeight="1">
      <c r="A6" s="49" t="s">
        <v>0</v>
      </c>
      <c r="B6" s="50"/>
      <c r="C6" s="50"/>
      <c r="D6" s="202"/>
      <c r="E6" s="202"/>
      <c r="F6" s="202"/>
      <c r="G6" s="202"/>
      <c r="H6" s="202"/>
      <c r="I6" s="203"/>
      <c r="J6" s="3"/>
    </row>
    <row r="7" spans="1:14" ht="18" customHeight="1">
      <c r="A7" s="206" t="s">
        <v>1</v>
      </c>
      <c r="B7" s="207"/>
      <c r="C7" s="202" t="s">
        <v>91</v>
      </c>
      <c r="D7" s="202"/>
      <c r="E7" s="202"/>
      <c r="F7" s="202"/>
      <c r="G7" s="202"/>
      <c r="H7" s="202"/>
      <c r="I7" s="203"/>
      <c r="J7" s="3"/>
    </row>
    <row r="8" spans="1:14" ht="18" customHeight="1">
      <c r="A8" s="206" t="s">
        <v>2</v>
      </c>
      <c r="B8" s="207"/>
      <c r="C8" s="202" t="s">
        <v>58</v>
      </c>
      <c r="D8" s="202"/>
      <c r="E8" s="202"/>
      <c r="F8" s="202"/>
      <c r="G8" s="202"/>
      <c r="H8" s="202"/>
      <c r="I8" s="203"/>
      <c r="J8" s="3"/>
    </row>
    <row r="9" spans="1:14" ht="9.75" customHeight="1">
      <c r="A9" s="22"/>
      <c r="B9" s="16"/>
      <c r="C9" s="31"/>
      <c r="D9" s="16"/>
      <c r="E9" s="9"/>
      <c r="F9" s="9"/>
      <c r="G9" s="9"/>
      <c r="H9" s="9"/>
      <c r="I9" s="4"/>
      <c r="J9" s="3"/>
    </row>
    <row r="10" spans="1:14" ht="18" customHeight="1">
      <c r="A10" s="49" t="s">
        <v>3</v>
      </c>
      <c r="B10" s="50"/>
      <c r="C10" s="50"/>
      <c r="D10" s="50"/>
      <c r="E10" s="9"/>
      <c r="F10" s="9"/>
      <c r="G10" s="9"/>
      <c r="H10" s="9"/>
      <c r="I10" s="4"/>
      <c r="J10" s="3"/>
    </row>
    <row r="11" spans="1:14" ht="9.75" customHeight="1">
      <c r="A11" s="7"/>
      <c r="B11" s="8"/>
      <c r="C11" s="9"/>
      <c r="D11" s="9"/>
      <c r="E11" s="9"/>
      <c r="F11" s="9"/>
      <c r="G11" s="9"/>
      <c r="H11" s="9"/>
      <c r="I11" s="4"/>
      <c r="J11" s="3"/>
    </row>
    <row r="12" spans="1:14" ht="27" customHeight="1">
      <c r="A12" s="45" t="s">
        <v>24</v>
      </c>
      <c r="B12" s="62" t="s">
        <v>4</v>
      </c>
      <c r="C12" s="208" t="s">
        <v>29</v>
      </c>
      <c r="D12" s="209"/>
      <c r="E12" s="210" t="s">
        <v>30</v>
      </c>
      <c r="F12" s="211"/>
      <c r="G12" s="51" t="s">
        <v>61</v>
      </c>
      <c r="H12" s="208" t="s">
        <v>5</v>
      </c>
      <c r="I12" s="209"/>
      <c r="J12" s="3"/>
      <c r="M12" s="1" t="s">
        <v>88</v>
      </c>
    </row>
    <row r="13" spans="1:14" ht="46.5" customHeight="1">
      <c r="A13" s="192">
        <v>1</v>
      </c>
      <c r="B13" s="179" t="s">
        <v>74</v>
      </c>
      <c r="C13" s="181" t="s">
        <v>75</v>
      </c>
      <c r="D13" s="182"/>
      <c r="E13" s="185" t="s">
        <v>76</v>
      </c>
      <c r="F13" s="186"/>
      <c r="G13" s="189">
        <v>5.6000000000000001E-2</v>
      </c>
      <c r="H13" s="175" t="s">
        <v>95</v>
      </c>
      <c r="I13" s="176"/>
      <c r="J13" s="3"/>
      <c r="K13" s="60"/>
      <c r="M13" s="1" t="s">
        <v>89</v>
      </c>
    </row>
    <row r="14" spans="1:14" ht="31.5" customHeight="1">
      <c r="A14" s="193"/>
      <c r="B14" s="180"/>
      <c r="C14" s="183"/>
      <c r="D14" s="184"/>
      <c r="E14" s="187"/>
      <c r="F14" s="188"/>
      <c r="G14" s="190"/>
      <c r="H14" s="177"/>
      <c r="I14" s="178"/>
      <c r="J14" s="3"/>
      <c r="M14" s="1">
        <v>0.08</v>
      </c>
      <c r="N14" s="1">
        <f>0.82*0.02</f>
        <v>1.6399999999999998E-2</v>
      </c>
    </row>
    <row r="15" spans="1:14" ht="16.5" customHeight="1">
      <c r="A15" s="120"/>
      <c r="B15" s="121"/>
      <c r="C15" s="122"/>
      <c r="D15" s="122"/>
      <c r="E15" s="119"/>
      <c r="F15" s="119"/>
      <c r="G15" s="123"/>
      <c r="H15" s="124"/>
      <c r="I15" s="118"/>
      <c r="J15" s="3"/>
      <c r="M15" s="128">
        <f>M14+N14</f>
        <v>9.64E-2</v>
      </c>
    </row>
    <row r="16" spans="1:14" ht="13.5" customHeight="1">
      <c r="A16" s="35"/>
      <c r="B16" s="42"/>
      <c r="C16" s="42"/>
      <c r="D16" s="29"/>
      <c r="E16" s="29"/>
      <c r="F16" s="29"/>
      <c r="G16" s="29"/>
      <c r="H16" s="29"/>
      <c r="I16" s="30"/>
      <c r="J16" s="3"/>
    </row>
    <row r="17" spans="1:12" s="3" customFormat="1" ht="18" customHeight="1">
      <c r="A17" s="33" t="s">
        <v>6</v>
      </c>
      <c r="B17" s="54"/>
      <c r="C17" s="34"/>
      <c r="D17" s="11"/>
      <c r="E17" s="11"/>
      <c r="F17" s="11"/>
      <c r="G17" s="29"/>
      <c r="H17" s="29"/>
      <c r="I17" s="30"/>
    </row>
    <row r="18" spans="1:12" s="3" customFormat="1" ht="8.25" customHeight="1">
      <c r="A18" s="33"/>
      <c r="B18" s="54"/>
      <c r="C18" s="34"/>
      <c r="D18" s="11"/>
      <c r="E18" s="11"/>
      <c r="F18" s="11"/>
      <c r="G18" s="29"/>
      <c r="H18" s="29"/>
      <c r="I18" s="30"/>
    </row>
    <row r="19" spans="1:12" s="3" customFormat="1" ht="18" customHeight="1">
      <c r="A19" s="35"/>
      <c r="B19" s="63" t="s">
        <v>37</v>
      </c>
      <c r="C19" s="215" t="s">
        <v>52</v>
      </c>
      <c r="D19" s="215"/>
      <c r="E19" s="191" t="s">
        <v>8</v>
      </c>
      <c r="F19" s="191"/>
      <c r="G19" s="46" t="s">
        <v>9</v>
      </c>
      <c r="H19" s="46" t="s">
        <v>53</v>
      </c>
      <c r="I19" s="30"/>
    </row>
    <row r="20" spans="1:12" s="3" customFormat="1" ht="18" customHeight="1">
      <c r="A20" s="35"/>
      <c r="B20" s="116"/>
      <c r="C20" s="159"/>
      <c r="D20" s="160"/>
      <c r="E20" s="159"/>
      <c r="F20" s="160"/>
      <c r="G20" s="125"/>
      <c r="H20" s="136"/>
      <c r="I20" s="30"/>
      <c r="L20" s="3">
        <v>46.3</v>
      </c>
    </row>
    <row r="21" spans="1:12" s="3" customFormat="1" ht="9.75" customHeight="1">
      <c r="A21" s="10"/>
      <c r="B21" s="12"/>
      <c r="C21" s="9"/>
      <c r="D21" s="9"/>
      <c r="E21" s="9"/>
      <c r="F21" s="9"/>
      <c r="G21" s="9"/>
      <c r="H21" s="9"/>
      <c r="I21" s="4"/>
      <c r="L21" s="3">
        <v>47.1</v>
      </c>
    </row>
    <row r="22" spans="1:12" ht="18" customHeight="1">
      <c r="A22" s="157" t="s">
        <v>10</v>
      </c>
      <c r="B22" s="158"/>
      <c r="C22" s="9"/>
      <c r="D22" s="9"/>
      <c r="E22" s="9"/>
      <c r="F22" s="9"/>
      <c r="G22" s="106"/>
      <c r="H22" s="9"/>
      <c r="I22" s="4"/>
      <c r="J22" s="3"/>
      <c r="L22" s="1">
        <v>48.9</v>
      </c>
    </row>
    <row r="23" spans="1:12" ht="18" customHeight="1">
      <c r="A23" s="44"/>
      <c r="B23" s="166" t="s">
        <v>38</v>
      </c>
      <c r="C23" s="166"/>
      <c r="D23" s="166"/>
      <c r="E23" s="29">
        <v>10</v>
      </c>
      <c r="F23" s="29"/>
      <c r="G23" s="9"/>
      <c r="H23" s="9"/>
      <c r="I23" s="4"/>
      <c r="J23" s="3"/>
      <c r="L23" s="1">
        <f>AVERAGE(L20:L22)</f>
        <v>47.433333333333337</v>
      </c>
    </row>
    <row r="24" spans="1:12" ht="8.25" customHeight="1">
      <c r="A24" s="10"/>
      <c r="B24" s="12"/>
      <c r="C24" s="196"/>
      <c r="D24" s="196"/>
      <c r="E24" s="29"/>
      <c r="F24" s="29"/>
      <c r="G24" s="9"/>
      <c r="H24" s="9"/>
      <c r="I24" s="4"/>
      <c r="J24" s="3"/>
    </row>
    <row r="25" spans="1:12" ht="27" customHeight="1">
      <c r="A25" s="10"/>
      <c r="B25" s="70" t="s">
        <v>59</v>
      </c>
      <c r="C25" s="67" t="s">
        <v>9</v>
      </c>
      <c r="D25" s="168" t="s">
        <v>60</v>
      </c>
      <c r="E25" s="169"/>
      <c r="F25" s="67"/>
      <c r="G25" s="67" t="s">
        <v>28</v>
      </c>
      <c r="H25" s="98"/>
      <c r="I25" s="4"/>
      <c r="J25" s="3"/>
    </row>
    <row r="26" spans="1:12" ht="18" customHeight="1">
      <c r="A26" s="10"/>
      <c r="B26" s="80">
        <v>0</v>
      </c>
      <c r="C26" s="161">
        <f>AVERAGE(B26:B35)</f>
        <v>1.4E-3</v>
      </c>
      <c r="D26" s="194">
        <f>(B26- C26)*1000</f>
        <v>-1.4</v>
      </c>
      <c r="E26" s="195"/>
      <c r="F26" s="64">
        <f>D26^2</f>
        <v>1.9599999999999997</v>
      </c>
      <c r="G26" s="71"/>
      <c r="H26" s="7"/>
      <c r="I26" s="66"/>
      <c r="J26" s="3"/>
    </row>
    <row r="27" spans="1:12" ht="18" customHeight="1">
      <c r="A27" s="10"/>
      <c r="B27" s="81">
        <v>0</v>
      </c>
      <c r="C27" s="162"/>
      <c r="D27" s="164">
        <f>(B27- C26)*1000</f>
        <v>-1.4</v>
      </c>
      <c r="E27" s="165"/>
      <c r="F27" s="39">
        <f t="shared" ref="F27:F35" si="0">D27*D27</f>
        <v>1.9599999999999997</v>
      </c>
      <c r="G27" s="68"/>
      <c r="H27" s="7"/>
      <c r="I27" s="66"/>
      <c r="J27" s="3"/>
    </row>
    <row r="28" spans="1:12" ht="18" customHeight="1">
      <c r="A28" s="10"/>
      <c r="B28" s="81">
        <v>0</v>
      </c>
      <c r="C28" s="162"/>
      <c r="D28" s="164">
        <f>(B28- C26)*1000</f>
        <v>-1.4</v>
      </c>
      <c r="E28" s="165"/>
      <c r="F28" s="39">
        <f t="shared" si="0"/>
        <v>1.9599999999999997</v>
      </c>
      <c r="G28" s="68"/>
      <c r="H28" s="7"/>
      <c r="I28" s="66"/>
      <c r="J28" s="3"/>
    </row>
    <row r="29" spans="1:12" ht="18" customHeight="1">
      <c r="A29" s="10"/>
      <c r="B29" s="81">
        <v>2E-3</v>
      </c>
      <c r="C29" s="162"/>
      <c r="D29" s="164">
        <f>(B29- C26)*1000</f>
        <v>0.60000000000000009</v>
      </c>
      <c r="E29" s="165"/>
      <c r="F29" s="39">
        <f t="shared" si="0"/>
        <v>0.3600000000000001</v>
      </c>
      <c r="G29" s="68"/>
      <c r="H29" s="7"/>
      <c r="I29" s="66"/>
      <c r="J29" s="3"/>
    </row>
    <row r="30" spans="1:12" ht="18" customHeight="1">
      <c r="A30" s="10"/>
      <c r="B30" s="81">
        <v>0</v>
      </c>
      <c r="C30" s="162"/>
      <c r="D30" s="164">
        <f>(B30- C26)*1000</f>
        <v>-1.4</v>
      </c>
      <c r="E30" s="165"/>
      <c r="F30" s="39">
        <f t="shared" si="0"/>
        <v>1.9599999999999997</v>
      </c>
      <c r="G30" s="135">
        <f>SQRT(F36/(E23-1))</f>
        <v>1.429840705968481</v>
      </c>
      <c r="H30" s="99"/>
      <c r="I30" s="66"/>
      <c r="J30" s="3"/>
    </row>
    <row r="31" spans="1:12" ht="18" customHeight="1">
      <c r="A31" s="10"/>
      <c r="B31" s="81">
        <v>2E-3</v>
      </c>
      <c r="C31" s="162"/>
      <c r="D31" s="164">
        <f>(B31- C26)*1000</f>
        <v>0.60000000000000009</v>
      </c>
      <c r="E31" s="165"/>
      <c r="F31" s="39">
        <f t="shared" si="0"/>
        <v>0.3600000000000001</v>
      </c>
      <c r="G31" s="68"/>
      <c r="H31" s="7"/>
      <c r="I31" s="66"/>
      <c r="J31" s="3"/>
    </row>
    <row r="32" spans="1:12" ht="18" customHeight="1">
      <c r="A32" s="10"/>
      <c r="B32" s="81">
        <v>1E-3</v>
      </c>
      <c r="C32" s="162"/>
      <c r="D32" s="164">
        <f>(B32- C26)*1000</f>
        <v>-0.39999999999999997</v>
      </c>
      <c r="E32" s="165"/>
      <c r="F32" s="39">
        <f t="shared" si="0"/>
        <v>0.15999999999999998</v>
      </c>
      <c r="G32" s="68"/>
      <c r="H32" s="7"/>
      <c r="I32" s="66"/>
      <c r="J32" s="3"/>
    </row>
    <row r="33" spans="1:10" ht="18" customHeight="1">
      <c r="A33" s="10"/>
      <c r="B33" s="81">
        <v>3.0000000000000001E-3</v>
      </c>
      <c r="C33" s="162"/>
      <c r="D33" s="164">
        <f>(B33- C26)*1000</f>
        <v>1.6</v>
      </c>
      <c r="E33" s="165"/>
      <c r="F33" s="39">
        <f t="shared" si="0"/>
        <v>2.5600000000000005</v>
      </c>
      <c r="G33" s="68"/>
      <c r="H33" s="7"/>
      <c r="I33" s="66"/>
      <c r="J33" s="3"/>
    </row>
    <row r="34" spans="1:10" ht="18" customHeight="1">
      <c r="A34" s="10"/>
      <c r="B34" s="81">
        <v>4.0000000000000001E-3</v>
      </c>
      <c r="C34" s="162"/>
      <c r="D34" s="164">
        <f>(B34- C26)*1000</f>
        <v>2.6</v>
      </c>
      <c r="E34" s="165"/>
      <c r="F34" s="39">
        <f t="shared" si="0"/>
        <v>6.7600000000000007</v>
      </c>
      <c r="G34" s="68"/>
      <c r="H34" s="104"/>
      <c r="I34" s="66"/>
      <c r="J34" s="3"/>
    </row>
    <row r="35" spans="1:10" ht="18" customHeight="1">
      <c r="A35" s="10"/>
      <c r="B35" s="82">
        <v>2E-3</v>
      </c>
      <c r="C35" s="163"/>
      <c r="D35" s="170">
        <f>(B35- C26)*1000</f>
        <v>0.60000000000000009</v>
      </c>
      <c r="E35" s="171"/>
      <c r="F35" s="40">
        <f t="shared" si="0"/>
        <v>0.3600000000000001</v>
      </c>
      <c r="G35" s="69"/>
      <c r="H35" s="7"/>
      <c r="I35" s="66"/>
      <c r="J35" s="3"/>
    </row>
    <row r="36" spans="1:10" ht="18" customHeight="1">
      <c r="A36" s="10"/>
      <c r="B36" s="12"/>
      <c r="C36" s="38"/>
      <c r="D36" s="12"/>
      <c r="E36" s="12"/>
      <c r="F36" s="12">
        <f>SUM(F26:F35)</f>
        <v>18.399999999999999</v>
      </c>
      <c r="G36" s="12"/>
      <c r="H36" s="12"/>
      <c r="I36" s="4"/>
      <c r="J36" s="3"/>
    </row>
    <row r="37" spans="1:10" ht="12.75" customHeight="1">
      <c r="A37" s="2"/>
      <c r="B37" s="3"/>
      <c r="C37" s="3"/>
      <c r="D37" s="3"/>
      <c r="E37" s="3"/>
      <c r="F37" s="3"/>
      <c r="G37" s="12"/>
      <c r="H37" s="12"/>
      <c r="I37" s="4"/>
      <c r="J37" s="3"/>
    </row>
    <row r="38" spans="1:10" ht="27" customHeight="1">
      <c r="A38" s="43" t="s">
        <v>39</v>
      </c>
      <c r="B38" s="11"/>
      <c r="C38" s="9"/>
      <c r="D38" s="3"/>
      <c r="E38" s="167" t="s">
        <v>41</v>
      </c>
      <c r="F38" s="167"/>
      <c r="G38" s="134">
        <f>(G30/SQRT(E23))</f>
        <v>0.45215533220835114</v>
      </c>
      <c r="H38" s="105" t="s">
        <v>13</v>
      </c>
      <c r="I38" s="77"/>
      <c r="J38" s="3"/>
    </row>
    <row r="39" spans="1:10" ht="13.5" customHeight="1">
      <c r="A39" s="2"/>
      <c r="B39" s="3"/>
      <c r="C39" s="3"/>
      <c r="D39" s="3"/>
      <c r="E39" s="3"/>
      <c r="F39" s="3"/>
      <c r="G39" s="3"/>
      <c r="H39" s="3"/>
      <c r="I39" s="4"/>
      <c r="J39" s="3"/>
    </row>
    <row r="40" spans="1:10" ht="23.25" customHeight="1">
      <c r="A40" s="157" t="s">
        <v>25</v>
      </c>
      <c r="B40" s="158"/>
      <c r="C40" s="158"/>
      <c r="D40" s="158"/>
      <c r="E40" s="197">
        <f>E23-1</f>
        <v>9</v>
      </c>
      <c r="F40" s="197"/>
      <c r="G40" s="3"/>
      <c r="H40" s="3"/>
      <c r="I40" s="4"/>
      <c r="J40" s="3"/>
    </row>
    <row r="41" spans="1:10">
      <c r="A41" s="2"/>
      <c r="B41" s="3"/>
      <c r="C41" s="3"/>
      <c r="D41" s="3"/>
      <c r="E41" s="3"/>
      <c r="F41" s="3"/>
      <c r="G41" s="3"/>
      <c r="H41" s="3"/>
      <c r="I41" s="4"/>
      <c r="J41" s="3"/>
    </row>
    <row r="42" spans="1:10">
      <c r="A42" s="172" t="s">
        <v>92</v>
      </c>
      <c r="B42" s="173"/>
      <c r="C42" s="173"/>
      <c r="D42" s="173"/>
      <c r="E42" s="173"/>
      <c r="F42" s="173"/>
      <c r="G42" s="173"/>
      <c r="H42" s="173"/>
      <c r="I42" s="174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</row>
  </sheetData>
  <sheetProtection formatCells="0" insertRows="0"/>
  <protectedRanges>
    <protectedRange sqref="C4 C7:I8 H4:I4 B26:B35 E23 A41:B41 G41:I41 B20:H20" name="Range2"/>
    <protectedRange sqref="A15:G15" name="Range2_3_3"/>
    <protectedRange sqref="H15:I15" name="Range2_2_1"/>
    <protectedRange sqref="A14" name="Range2_3_3_2_1"/>
    <protectedRange sqref="C13:G14 B14" name="Range2_3_3_1_1_1"/>
    <protectedRange sqref="B13" name="Range2_1_1_2_1_1_1"/>
    <protectedRange sqref="H13:I14" name="Range2_2_1_1_1_2"/>
  </protectedRanges>
  <mergeCells count="42">
    <mergeCell ref="C19:D19"/>
    <mergeCell ref="C12:D12"/>
    <mergeCell ref="H12:I12"/>
    <mergeCell ref="E12:F12"/>
    <mergeCell ref="A1:G2"/>
    <mergeCell ref="C7:I7"/>
    <mergeCell ref="A7:B7"/>
    <mergeCell ref="C4:F4"/>
    <mergeCell ref="A4:B4"/>
    <mergeCell ref="H1:I1"/>
    <mergeCell ref="D6:I6"/>
    <mergeCell ref="H2:I2"/>
    <mergeCell ref="A8:B8"/>
    <mergeCell ref="C8:I8"/>
    <mergeCell ref="A42:I42"/>
    <mergeCell ref="H13:I14"/>
    <mergeCell ref="B13:B14"/>
    <mergeCell ref="C13:D14"/>
    <mergeCell ref="E13:F14"/>
    <mergeCell ref="G13:G14"/>
    <mergeCell ref="C20:D20"/>
    <mergeCell ref="E19:F19"/>
    <mergeCell ref="D27:E27"/>
    <mergeCell ref="D28:E28"/>
    <mergeCell ref="A13:A14"/>
    <mergeCell ref="D26:E26"/>
    <mergeCell ref="D30:E30"/>
    <mergeCell ref="D29:E29"/>
    <mergeCell ref="D31:E31"/>
    <mergeCell ref="C24:D24"/>
    <mergeCell ref="A40:D40"/>
    <mergeCell ref="E20:F20"/>
    <mergeCell ref="A22:B22"/>
    <mergeCell ref="C26:C35"/>
    <mergeCell ref="D33:E33"/>
    <mergeCell ref="B23:D23"/>
    <mergeCell ref="E38:F38"/>
    <mergeCell ref="D25:E25"/>
    <mergeCell ref="D35:E35"/>
    <mergeCell ref="D34:E34"/>
    <mergeCell ref="D32:E32"/>
    <mergeCell ref="E40:F40"/>
  </mergeCells>
  <phoneticPr fontId="8" type="noConversion"/>
  <printOptions horizontalCentered="1" verticalCentered="1"/>
  <pageMargins left="1" right="0.5" top="0.75" bottom="0.75" header="0.5" footer="0.25"/>
  <pageSetup paperSize="9" scale="96" orientation="portrait" r:id="rId1"/>
  <headerFooter alignWithMargins="0">
    <oddFooter>&amp;C&amp;"Arial,Regular"&amp;10Sheet &amp;[1 of &amp;[3&amp;R&amp;"Arial,Regular"&amp;10LAB/F/08 Rev:00</oddFooter>
  </headerFooter>
  <drawing r:id="rId2"/>
  <legacyDrawing r:id="rId3"/>
  <oleObjects>
    <oleObject progId="Paint.Picture" shapeId="189460" r:id="rId4"/>
    <oleObject progId="Paint.Picture" shapeId="189461" r:id="rId5"/>
    <oleObject progId="Paint.Picture" shapeId="189462" r:id="rId6"/>
    <oleObject progId="Paint.Picture" shapeId="189465" r:id="rId7"/>
    <oleObject progId="Paint.Picture" shapeId="189477" r:id="rId8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showGridLines="0" view="pageBreakPreview" topLeftCell="A10" zoomScaleNormal="100" zoomScaleSheetLayoutView="100" workbookViewId="0">
      <selection activeCell="H22" sqref="H22"/>
    </sheetView>
  </sheetViews>
  <sheetFormatPr defaultColWidth="10" defaultRowHeight="12.75"/>
  <cols>
    <col min="1" max="1" width="5.625" style="1" customWidth="1"/>
    <col min="2" max="2" width="5.125" style="1" customWidth="1"/>
    <col min="3" max="3" width="7.25" style="58" customWidth="1"/>
    <col min="4" max="4" width="42.875" style="1" customWidth="1"/>
    <col min="5" max="5" width="16.75" style="1" customWidth="1"/>
    <col min="6" max="6" width="3.875" style="1" customWidth="1"/>
    <col min="7" max="7" width="10" style="117"/>
    <col min="8" max="16384" width="10" style="1"/>
  </cols>
  <sheetData>
    <row r="1" spans="1:8" ht="19.5" customHeight="1">
      <c r="A1" s="200" t="s">
        <v>7</v>
      </c>
      <c r="B1" s="212"/>
      <c r="C1" s="212"/>
      <c r="D1" s="212"/>
      <c r="E1" s="36"/>
      <c r="F1" s="3"/>
    </row>
    <row r="2" spans="1:8" ht="12.75" customHeight="1">
      <c r="A2" s="213"/>
      <c r="B2" s="214"/>
      <c r="C2" s="214"/>
      <c r="D2" s="214"/>
      <c r="E2" s="37" t="s">
        <v>57</v>
      </c>
      <c r="F2" s="3"/>
    </row>
    <row r="3" spans="1:8" ht="24" customHeight="1">
      <c r="A3" s="157" t="s">
        <v>11</v>
      </c>
      <c r="B3" s="158"/>
      <c r="C3" s="158"/>
      <c r="D3" s="158"/>
      <c r="E3" s="13"/>
      <c r="F3" s="3"/>
    </row>
    <row r="4" spans="1:8" ht="25.5" customHeight="1">
      <c r="A4" s="224" t="s">
        <v>35</v>
      </c>
      <c r="B4" s="225"/>
      <c r="C4" s="225"/>
      <c r="D4" s="226"/>
      <c r="E4" s="52" t="s">
        <v>36</v>
      </c>
      <c r="F4" s="3"/>
    </row>
    <row r="5" spans="1:8" ht="24" customHeight="1">
      <c r="A5" s="228" t="s">
        <v>12</v>
      </c>
      <c r="B5" s="227">
        <v>5.6000000000000001E-2</v>
      </c>
      <c r="C5" s="195" t="s">
        <v>13</v>
      </c>
      <c r="D5" s="107" t="s">
        <v>77</v>
      </c>
      <c r="E5" s="189">
        <v>1</v>
      </c>
      <c r="F5" s="3"/>
    </row>
    <row r="6" spans="1:8" ht="15" customHeight="1">
      <c r="A6" s="229"/>
      <c r="B6" s="218"/>
      <c r="C6" s="165"/>
      <c r="D6" s="113"/>
      <c r="E6" s="190"/>
      <c r="F6" s="3"/>
    </row>
    <row r="7" spans="1:8" ht="24" customHeight="1">
      <c r="A7" s="216" t="s">
        <v>66</v>
      </c>
      <c r="B7" s="218">
        <v>0.11</v>
      </c>
      <c r="C7" s="165" t="s">
        <v>13</v>
      </c>
      <c r="D7" s="111" t="s">
        <v>78</v>
      </c>
      <c r="E7" s="190">
        <v>1</v>
      </c>
      <c r="F7" s="3"/>
    </row>
    <row r="8" spans="1:8" ht="15" customHeight="1">
      <c r="A8" s="216"/>
      <c r="B8" s="218"/>
      <c r="C8" s="165"/>
      <c r="D8" s="113"/>
      <c r="E8" s="190"/>
      <c r="F8" s="3"/>
    </row>
    <row r="9" spans="1:8" ht="24" customHeight="1">
      <c r="A9" s="216" t="s">
        <v>14</v>
      </c>
      <c r="B9" s="218">
        <v>5</v>
      </c>
      <c r="C9" s="165" t="s">
        <v>13</v>
      </c>
      <c r="D9" s="111" t="s">
        <v>79</v>
      </c>
      <c r="E9" s="190">
        <v>1</v>
      </c>
      <c r="F9" s="3"/>
    </row>
    <row r="10" spans="1:8" ht="15" customHeight="1">
      <c r="A10" s="216"/>
      <c r="B10" s="218"/>
      <c r="C10" s="165"/>
      <c r="D10" s="108"/>
      <c r="E10" s="190"/>
      <c r="F10" s="3"/>
    </row>
    <row r="11" spans="1:8" ht="15" customHeight="1">
      <c r="A11" s="230" t="s">
        <v>15</v>
      </c>
      <c r="B11" s="236">
        <v>0.3</v>
      </c>
      <c r="C11" s="238" t="s">
        <v>23</v>
      </c>
      <c r="D11" s="232" t="s">
        <v>96</v>
      </c>
      <c r="E11" s="234">
        <v>7.0000000000000007E-2</v>
      </c>
      <c r="F11" s="3"/>
      <c r="G11" s="117" t="s">
        <v>64</v>
      </c>
      <c r="H11" s="128">
        <f>(0.02*0.3*(11.5+11.5)/2)</f>
        <v>6.9000000000000006E-2</v>
      </c>
    </row>
    <row r="12" spans="1:8" ht="24" customHeight="1">
      <c r="A12" s="231"/>
      <c r="B12" s="237"/>
      <c r="C12" s="239"/>
      <c r="D12" s="233"/>
      <c r="E12" s="235"/>
      <c r="F12" s="3"/>
      <c r="H12" s="128"/>
    </row>
    <row r="13" spans="1:8" ht="15" customHeight="1">
      <c r="A13" s="230" t="s">
        <v>68</v>
      </c>
      <c r="B13" s="236">
        <v>0.21</v>
      </c>
      <c r="C13" s="238" t="s">
        <v>23</v>
      </c>
      <c r="D13" s="232" t="s">
        <v>97</v>
      </c>
      <c r="E13" s="234">
        <v>0.05</v>
      </c>
      <c r="F13" s="3"/>
      <c r="G13" s="117" t="s">
        <v>65</v>
      </c>
      <c r="H13" s="128">
        <f>(0.02*0.21*(11.5+11.5)/2)</f>
        <v>4.8299999999999996E-2</v>
      </c>
    </row>
    <row r="14" spans="1:8" ht="15" customHeight="1">
      <c r="A14" s="231"/>
      <c r="B14" s="237"/>
      <c r="C14" s="239"/>
      <c r="D14" s="240"/>
      <c r="E14" s="235"/>
      <c r="F14" s="3"/>
      <c r="H14" s="128"/>
    </row>
    <row r="15" spans="1:8" ht="24" customHeight="1">
      <c r="A15" s="216" t="s">
        <v>71</v>
      </c>
      <c r="B15" s="223">
        <v>0.3</v>
      </c>
      <c r="C15" s="222" t="s">
        <v>23</v>
      </c>
      <c r="D15" s="112" t="s">
        <v>63</v>
      </c>
      <c r="E15" s="220">
        <v>0.23</v>
      </c>
      <c r="F15" s="3"/>
      <c r="G15" s="117" t="s">
        <v>19</v>
      </c>
      <c r="H15" s="128">
        <f>(11.5+11.5)/2*0.02</f>
        <v>0.23</v>
      </c>
    </row>
    <row r="16" spans="1:8" ht="15" customHeight="1">
      <c r="A16" s="216"/>
      <c r="B16" s="223"/>
      <c r="C16" s="222"/>
      <c r="D16" s="126" t="s">
        <v>85</v>
      </c>
      <c r="E16" s="220"/>
      <c r="F16" s="3"/>
      <c r="H16" s="128"/>
    </row>
    <row r="17" spans="1:8" ht="24" customHeight="1">
      <c r="A17" s="216" t="s">
        <v>80</v>
      </c>
      <c r="B17" s="223">
        <v>0.5</v>
      </c>
      <c r="C17" s="222" t="s">
        <v>23</v>
      </c>
      <c r="D17" s="110" t="s">
        <v>62</v>
      </c>
      <c r="E17" s="220">
        <v>0.23</v>
      </c>
      <c r="F17" s="3"/>
      <c r="G17" s="117" t="s">
        <v>20</v>
      </c>
      <c r="H17" s="128">
        <f>(11.5+11.5)/2*0.02</f>
        <v>0.23</v>
      </c>
    </row>
    <row r="18" spans="1:8" ht="15" customHeight="1">
      <c r="A18" s="216"/>
      <c r="B18" s="223"/>
      <c r="C18" s="222"/>
      <c r="D18" s="127" t="s">
        <v>86</v>
      </c>
      <c r="E18" s="220"/>
      <c r="F18" s="3"/>
      <c r="H18" s="128"/>
    </row>
    <row r="19" spans="1:8" ht="24" customHeight="1">
      <c r="A19" s="216" t="s">
        <v>81</v>
      </c>
      <c r="B19" s="218">
        <v>0.5</v>
      </c>
      <c r="C19" s="222" t="s">
        <v>23</v>
      </c>
      <c r="D19" s="111" t="s">
        <v>54</v>
      </c>
      <c r="E19" s="220">
        <v>0.23</v>
      </c>
      <c r="F19" s="3"/>
      <c r="G19" s="117" t="s">
        <v>70</v>
      </c>
      <c r="H19" s="128">
        <f>(11.5+11.5)/2*0.02</f>
        <v>0.23</v>
      </c>
    </row>
    <row r="20" spans="1:8" ht="15" customHeight="1">
      <c r="A20" s="216"/>
      <c r="B20" s="218"/>
      <c r="C20" s="222"/>
      <c r="D20" s="126" t="s">
        <v>87</v>
      </c>
      <c r="E20" s="220"/>
      <c r="F20" s="3"/>
      <c r="H20" s="128"/>
    </row>
    <row r="21" spans="1:8" ht="24" customHeight="1">
      <c r="A21" s="216" t="s">
        <v>69</v>
      </c>
      <c r="B21" s="223">
        <v>1.62</v>
      </c>
      <c r="C21" s="165" t="s">
        <v>48</v>
      </c>
      <c r="D21" s="110" t="s">
        <v>55</v>
      </c>
      <c r="E21" s="220">
        <v>0.04</v>
      </c>
      <c r="F21" s="3"/>
      <c r="G21" s="117" t="s">
        <v>73</v>
      </c>
      <c r="H21" s="128">
        <f>2*0.02</f>
        <v>0.04</v>
      </c>
    </row>
    <row r="22" spans="1:8" ht="15" customHeight="1">
      <c r="A22" s="216"/>
      <c r="B22" s="223"/>
      <c r="C22" s="165"/>
      <c r="D22" s="127" t="s">
        <v>84</v>
      </c>
      <c r="E22" s="220"/>
      <c r="F22" s="3"/>
    </row>
    <row r="23" spans="1:8" ht="24" customHeight="1">
      <c r="A23" s="216" t="s">
        <v>72</v>
      </c>
      <c r="B23" s="218">
        <f>+'Uncertanity Evaluation'!G30</f>
        <v>1.429840705968481</v>
      </c>
      <c r="C23" s="165" t="s">
        <v>13</v>
      </c>
      <c r="D23" s="109" t="s">
        <v>22</v>
      </c>
      <c r="E23" s="190">
        <v>1</v>
      </c>
      <c r="F23" s="3"/>
    </row>
    <row r="24" spans="1:8" ht="15" customHeight="1">
      <c r="A24" s="217"/>
      <c r="B24" s="219"/>
      <c r="C24" s="171"/>
      <c r="D24" s="108"/>
      <c r="E24" s="221"/>
      <c r="F24" s="3"/>
    </row>
    <row r="25" spans="1:8" ht="17.25" customHeight="1">
      <c r="A25" s="97"/>
      <c r="B25" s="94"/>
      <c r="C25" s="95"/>
      <c r="D25" s="96"/>
      <c r="E25" s="84"/>
      <c r="F25" s="3"/>
      <c r="H25" s="1">
        <f>11.5*11.5</f>
        <v>132.25</v>
      </c>
    </row>
    <row r="26" spans="1:8">
      <c r="A26" s="10"/>
      <c r="B26" s="12"/>
      <c r="C26" s="56"/>
      <c r="D26" s="12"/>
      <c r="E26" s="13"/>
      <c r="F26" s="3"/>
    </row>
    <row r="27" spans="1:8">
      <c r="A27" s="10"/>
      <c r="B27" s="12"/>
      <c r="C27" s="56"/>
      <c r="D27" s="12"/>
      <c r="E27" s="13"/>
      <c r="F27" s="3"/>
    </row>
    <row r="28" spans="1:8">
      <c r="A28" s="10"/>
      <c r="B28" s="12"/>
      <c r="C28" s="56"/>
      <c r="D28" s="12"/>
      <c r="E28" s="13"/>
      <c r="F28" s="3"/>
    </row>
    <row r="29" spans="1:8">
      <c r="A29" s="10"/>
      <c r="B29" s="12"/>
      <c r="C29" s="56"/>
      <c r="D29" s="12"/>
      <c r="E29" s="13"/>
      <c r="F29" s="3"/>
    </row>
    <row r="30" spans="1:8">
      <c r="A30" s="10"/>
      <c r="B30" s="12"/>
      <c r="C30" s="56"/>
      <c r="D30" s="12"/>
      <c r="E30" s="13"/>
      <c r="F30" s="3"/>
    </row>
    <row r="31" spans="1:8">
      <c r="A31" s="10"/>
      <c r="B31" s="12"/>
      <c r="C31" s="56"/>
      <c r="D31" s="12"/>
      <c r="E31" s="13"/>
      <c r="F31" s="3"/>
    </row>
    <row r="32" spans="1:8">
      <c r="A32" s="10"/>
      <c r="B32" s="12"/>
      <c r="C32" s="56"/>
      <c r="D32" s="12"/>
      <c r="E32" s="13"/>
      <c r="F32" s="3"/>
    </row>
    <row r="33" spans="1:6">
      <c r="A33" s="10"/>
      <c r="B33" s="12"/>
      <c r="C33" s="56"/>
      <c r="D33" s="12"/>
      <c r="E33" s="13"/>
      <c r="F33" s="3"/>
    </row>
    <row r="34" spans="1:6">
      <c r="A34" s="10"/>
      <c r="B34" s="12"/>
      <c r="C34" s="56"/>
      <c r="D34" s="12"/>
      <c r="E34" s="13"/>
      <c r="F34" s="3"/>
    </row>
    <row r="35" spans="1:6">
      <c r="A35" s="10"/>
      <c r="B35" s="12"/>
      <c r="C35" s="56"/>
      <c r="D35" s="12"/>
      <c r="E35" s="13"/>
      <c r="F35" s="3"/>
    </row>
    <row r="36" spans="1:6">
      <c r="A36" s="10"/>
      <c r="B36" s="12"/>
      <c r="C36" s="56"/>
      <c r="D36" s="3"/>
      <c r="E36" s="13"/>
      <c r="F36" s="3"/>
    </row>
    <row r="37" spans="1:6">
      <c r="A37" s="10"/>
      <c r="B37" s="12"/>
      <c r="C37" s="56"/>
      <c r="D37" s="3"/>
      <c r="E37" s="13"/>
      <c r="F37" s="3"/>
    </row>
    <row r="38" spans="1:6" ht="24.75" customHeight="1">
      <c r="A38" s="172" t="s">
        <v>93</v>
      </c>
      <c r="B38" s="173"/>
      <c r="C38" s="173"/>
      <c r="D38" s="173"/>
      <c r="E38" s="174"/>
      <c r="F38" s="3"/>
    </row>
  </sheetData>
  <mergeCells count="46">
    <mergeCell ref="E11:E12"/>
    <mergeCell ref="A13:A14"/>
    <mergeCell ref="B13:B14"/>
    <mergeCell ref="C13:C14"/>
    <mergeCell ref="D13:D14"/>
    <mergeCell ref="E13:E14"/>
    <mergeCell ref="B11:B12"/>
    <mergeCell ref="C11:C12"/>
    <mergeCell ref="A38:E38"/>
    <mergeCell ref="A3:D3"/>
    <mergeCell ref="A9:A10"/>
    <mergeCell ref="B9:B10"/>
    <mergeCell ref="C9:C10"/>
    <mergeCell ref="B7:B8"/>
    <mergeCell ref="C7:C8"/>
    <mergeCell ref="A7:A8"/>
    <mergeCell ref="A11:A12"/>
    <mergeCell ref="D11:D12"/>
    <mergeCell ref="E5:E6"/>
    <mergeCell ref="A17:A18"/>
    <mergeCell ref="B17:B18"/>
    <mergeCell ref="C17:C18"/>
    <mergeCell ref="B15:B16"/>
    <mergeCell ref="A15:A16"/>
    <mergeCell ref="C21:C22"/>
    <mergeCell ref="A1:D2"/>
    <mergeCell ref="A4:D4"/>
    <mergeCell ref="B5:B6"/>
    <mergeCell ref="C5:C6"/>
    <mergeCell ref="A5:A6"/>
    <mergeCell ref="E7:E8"/>
    <mergeCell ref="E9:E10"/>
    <mergeCell ref="A23:A24"/>
    <mergeCell ref="B23:B24"/>
    <mergeCell ref="E15:E16"/>
    <mergeCell ref="E17:E18"/>
    <mergeCell ref="E19:E20"/>
    <mergeCell ref="E21:E22"/>
    <mergeCell ref="E23:E24"/>
    <mergeCell ref="C23:C24"/>
    <mergeCell ref="C15:C16"/>
    <mergeCell ref="A19:A20"/>
    <mergeCell ref="B19:B20"/>
    <mergeCell ref="C19:C20"/>
    <mergeCell ref="A21:A22"/>
    <mergeCell ref="B21:B22"/>
  </mergeCells>
  <phoneticPr fontId="8" type="noConversion"/>
  <printOptions horizontalCentered="1"/>
  <pageMargins left="1" right="0.5" top="0.75" bottom="0.75" header="0.5" footer="0.25"/>
  <pageSetup paperSize="9" scale="96" orientation="portrait" r:id="rId1"/>
  <headerFooter alignWithMargins="0">
    <oddFooter>&amp;C&amp;"Arial,Regular"&amp;10Sheet &amp;[2 of &amp;[3&amp;R&amp;"Arial,Regular"&amp;10LAB/F/08 Rev:00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Z41"/>
  <sheetViews>
    <sheetView showGridLines="0" view="pageBreakPreview" topLeftCell="A10" zoomScaleNormal="100" zoomScaleSheetLayoutView="100" workbookViewId="0">
      <selection activeCell="M14" sqref="M14"/>
    </sheetView>
  </sheetViews>
  <sheetFormatPr defaultColWidth="10" defaultRowHeight="12.75"/>
  <cols>
    <col min="1" max="1" width="2.75" style="1" customWidth="1"/>
    <col min="2" max="2" width="5.125" style="1" customWidth="1"/>
    <col min="3" max="3" width="8.125" style="58" customWidth="1"/>
    <col min="4" max="4" width="6.375" style="1" customWidth="1"/>
    <col min="5" max="5" width="13" style="1" customWidth="1"/>
    <col min="6" max="6" width="3.75" style="1" hidden="1" customWidth="1"/>
    <col min="7" max="7" width="6" style="1" customWidth="1"/>
    <col min="8" max="8" width="5.5" style="1" customWidth="1"/>
    <col min="9" max="9" width="4.25" style="1" customWidth="1"/>
    <col min="10" max="10" width="5" style="1" customWidth="1"/>
    <col min="11" max="11" width="9.5" style="1" customWidth="1"/>
    <col min="12" max="12" width="4.25" style="1" hidden="1" customWidth="1"/>
    <col min="13" max="13" width="13.125" style="1" customWidth="1"/>
    <col min="14" max="14" width="3.875" style="1" customWidth="1"/>
    <col min="15" max="16384" width="10" style="1"/>
  </cols>
  <sheetData>
    <row r="1" spans="1:26" ht="20.100000000000001" customHeight="1">
      <c r="A1" s="200" t="s">
        <v>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01"/>
      <c r="M1" s="36"/>
      <c r="N1" s="3"/>
    </row>
    <row r="2" spans="1:26" ht="11.25" customHeight="1">
      <c r="A2" s="213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43"/>
      <c r="M2" s="37" t="s">
        <v>57</v>
      </c>
      <c r="N2" s="3"/>
    </row>
    <row r="3" spans="1:26" ht="21.75" customHeight="1">
      <c r="A3" s="224" t="s">
        <v>51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6"/>
      <c r="N3" s="3"/>
    </row>
    <row r="4" spans="1:26" ht="51.75" customHeight="1">
      <c r="A4" s="246" t="s">
        <v>46</v>
      </c>
      <c r="B4" s="247"/>
      <c r="C4" s="71" t="s">
        <v>45</v>
      </c>
      <c r="D4" s="88" t="s">
        <v>42</v>
      </c>
      <c r="E4" s="74" t="s">
        <v>21</v>
      </c>
      <c r="F4" s="74"/>
      <c r="G4" s="175" t="s">
        <v>43</v>
      </c>
      <c r="H4" s="176"/>
      <c r="I4" s="175" t="s">
        <v>44</v>
      </c>
      <c r="J4" s="176"/>
      <c r="K4" s="71" t="s">
        <v>50</v>
      </c>
      <c r="L4" s="71"/>
      <c r="M4" s="71" t="s">
        <v>47</v>
      </c>
      <c r="N4" s="3"/>
    </row>
    <row r="5" spans="1:26" ht="21" customHeight="1">
      <c r="A5" s="249" t="s">
        <v>17</v>
      </c>
      <c r="B5" s="250"/>
      <c r="C5" s="75">
        <f>'2nd Page'!B5</f>
        <v>5.6000000000000001E-2</v>
      </c>
      <c r="D5" s="75">
        <f>C5/2</f>
        <v>2.8000000000000001E-2</v>
      </c>
      <c r="E5" s="75" t="str">
        <f>IF(F5=2,"Normal-B",IF(F5=3,"Rectangular-B",  ""))</f>
        <v>Normal-B</v>
      </c>
      <c r="F5" s="75">
        <v>2</v>
      </c>
      <c r="G5" s="91">
        <f>IF(F5=2, C5/2,IF(F5=3,C5/SQRT(3),   ))</f>
        <v>2.8000000000000001E-2</v>
      </c>
      <c r="H5" s="100" t="str">
        <f>+'2nd Page'!C5</f>
        <v>µm</v>
      </c>
      <c r="I5" s="83">
        <f>'2nd Page'!E5</f>
        <v>1</v>
      </c>
      <c r="J5" s="102" t="s">
        <v>13</v>
      </c>
      <c r="K5" s="132">
        <f t="shared" ref="K5:K14" si="0">G5*I5</f>
        <v>2.8000000000000001E-2</v>
      </c>
      <c r="L5" s="64">
        <f>K5*K5</f>
        <v>7.8400000000000008E-4</v>
      </c>
      <c r="M5" s="103" t="s">
        <v>56</v>
      </c>
      <c r="N5" s="3"/>
    </row>
    <row r="6" spans="1:26" ht="21" customHeight="1">
      <c r="A6" s="241" t="s">
        <v>67</v>
      </c>
      <c r="B6" s="242"/>
      <c r="C6" s="48">
        <f>'2nd Page'!B7</f>
        <v>0.11</v>
      </c>
      <c r="D6" s="48">
        <f t="shared" ref="D6:D14" si="1">C6/2</f>
        <v>5.5E-2</v>
      </c>
      <c r="E6" s="48" t="str">
        <f t="shared" ref="E6:E13" si="2">IF(F6=2,"Normal-B",IF(F6=3,"Rectangular-B",  ""))</f>
        <v>Rectangular-B</v>
      </c>
      <c r="F6" s="48">
        <v>3</v>
      </c>
      <c r="G6" s="92">
        <f t="shared" ref="G6:G13" si="3">IF(F6=2, C6/2,IF(F6=3,C6/SQRT(3),   ))</f>
        <v>6.3508529610858844E-2</v>
      </c>
      <c r="H6" s="90" t="str">
        <f>+'2nd Page'!C7</f>
        <v>µm</v>
      </c>
      <c r="I6" s="85">
        <f>'2nd Page'!E7</f>
        <v>1</v>
      </c>
      <c r="J6" s="86" t="s">
        <v>13</v>
      </c>
      <c r="K6" s="130">
        <f t="shared" si="0"/>
        <v>6.3508529610858844E-2</v>
      </c>
      <c r="L6" s="39">
        <f t="shared" ref="L6:L14" si="4">K6*K6</f>
        <v>4.0333333333333349E-3</v>
      </c>
      <c r="M6" s="115" t="s">
        <v>56</v>
      </c>
      <c r="N6" s="3"/>
    </row>
    <row r="7" spans="1:26" ht="21" customHeight="1">
      <c r="A7" s="241" t="s">
        <v>18</v>
      </c>
      <c r="B7" s="242"/>
      <c r="C7" s="48">
        <f>'2nd Page'!B9</f>
        <v>5</v>
      </c>
      <c r="D7" s="48">
        <f t="shared" si="1"/>
        <v>2.5</v>
      </c>
      <c r="E7" s="48" t="str">
        <f t="shared" si="2"/>
        <v>Rectangular-B</v>
      </c>
      <c r="F7" s="48">
        <v>3</v>
      </c>
      <c r="G7" s="92">
        <f t="shared" si="3"/>
        <v>2.8867513459481291</v>
      </c>
      <c r="H7" s="90" t="str">
        <f>+'2nd Page'!C9</f>
        <v>µm</v>
      </c>
      <c r="I7" s="85">
        <f>'2nd Page'!E9</f>
        <v>1</v>
      </c>
      <c r="J7" s="86" t="s">
        <v>13</v>
      </c>
      <c r="K7" s="130">
        <f t="shared" si="0"/>
        <v>2.8867513459481291</v>
      </c>
      <c r="L7" s="39">
        <f t="shared" si="4"/>
        <v>8.3333333333333357</v>
      </c>
      <c r="M7" s="115" t="s">
        <v>56</v>
      </c>
      <c r="N7" s="3"/>
    </row>
    <row r="8" spans="1:26" ht="21" customHeight="1">
      <c r="A8" s="241" t="s">
        <v>82</v>
      </c>
      <c r="B8" s="242"/>
      <c r="C8" s="48">
        <f>'2nd Page'!B11</f>
        <v>0.3</v>
      </c>
      <c r="D8" s="48">
        <f t="shared" si="1"/>
        <v>0.15</v>
      </c>
      <c r="E8" s="48" t="str">
        <f>IF(F8=2,"Normal-B",IF(F8=3,"Rectangular-B",  ""))</f>
        <v>Normal-B</v>
      </c>
      <c r="F8" s="48">
        <v>2</v>
      </c>
      <c r="G8" s="92">
        <f>IF(F8=2, C8/2,IF(F8=3,C8/SQRT(3),   ))</f>
        <v>0.15</v>
      </c>
      <c r="H8" s="90" t="str">
        <f>+'2nd Page'!C11</f>
        <v>°C</v>
      </c>
      <c r="I8" s="114">
        <f>'2nd Page'!E11</f>
        <v>7.0000000000000007E-2</v>
      </c>
      <c r="J8" s="86" t="s">
        <v>49</v>
      </c>
      <c r="K8" s="130">
        <f>G8*I8</f>
        <v>1.0500000000000001E-2</v>
      </c>
      <c r="L8" s="39">
        <f t="shared" si="4"/>
        <v>1.1025000000000001E-4</v>
      </c>
      <c r="M8" s="115" t="s">
        <v>56</v>
      </c>
      <c r="N8" s="3"/>
    </row>
    <row r="9" spans="1:26" ht="21" customHeight="1">
      <c r="A9" s="241" t="s">
        <v>64</v>
      </c>
      <c r="B9" s="242"/>
      <c r="C9" s="48">
        <f>'2nd Page'!B13</f>
        <v>0.21</v>
      </c>
      <c r="D9" s="48">
        <f t="shared" si="1"/>
        <v>0.105</v>
      </c>
      <c r="E9" s="48" t="str">
        <f>IF(F9=2,"Normal-B",IF(F9=3,"Rectangular-B",  ""))</f>
        <v>Rectangular-B</v>
      </c>
      <c r="F9" s="48">
        <v>3</v>
      </c>
      <c r="G9" s="92">
        <f>IF(F9=2, C9/2,IF(F9=3,C9/SQRT(3),   ))</f>
        <v>0.12124355652982141</v>
      </c>
      <c r="H9" s="90" t="str">
        <f>+'2nd Page'!C13</f>
        <v>°C</v>
      </c>
      <c r="I9" s="114">
        <f>'2nd Page'!E13</f>
        <v>0.05</v>
      </c>
      <c r="J9" s="86" t="s">
        <v>49</v>
      </c>
      <c r="K9" s="130">
        <f>G9*I9</f>
        <v>6.0621778264910711E-3</v>
      </c>
      <c r="L9" s="39">
        <f t="shared" si="4"/>
        <v>3.6750000000000006E-5</v>
      </c>
      <c r="M9" s="115" t="s">
        <v>56</v>
      </c>
      <c r="N9" s="3"/>
    </row>
    <row r="10" spans="1:26" ht="21" customHeight="1">
      <c r="A10" s="241" t="s">
        <v>65</v>
      </c>
      <c r="B10" s="242"/>
      <c r="C10" s="48">
        <f>'2nd Page'!B15</f>
        <v>0.3</v>
      </c>
      <c r="D10" s="48">
        <f t="shared" si="1"/>
        <v>0.15</v>
      </c>
      <c r="E10" s="48" t="str">
        <f t="shared" si="2"/>
        <v>Rectangular-B</v>
      </c>
      <c r="F10" s="48">
        <v>3</v>
      </c>
      <c r="G10" s="92">
        <f t="shared" si="3"/>
        <v>0.17320508075688773</v>
      </c>
      <c r="H10" s="90" t="str">
        <f>+'2nd Page'!C15</f>
        <v>°C</v>
      </c>
      <c r="I10" s="85">
        <f>'2nd Page'!E15</f>
        <v>0.23</v>
      </c>
      <c r="J10" s="86" t="s">
        <v>49</v>
      </c>
      <c r="K10" s="130">
        <f t="shared" si="0"/>
        <v>3.9837168574084182E-2</v>
      </c>
      <c r="L10" s="39">
        <f t="shared" si="4"/>
        <v>1.5870000000000003E-3</v>
      </c>
      <c r="M10" s="115" t="s">
        <v>56</v>
      </c>
      <c r="N10" s="3"/>
      <c r="Z10" s="60">
        <v>5</v>
      </c>
    </row>
    <row r="11" spans="1:26" ht="21" customHeight="1">
      <c r="A11" s="241" t="s">
        <v>19</v>
      </c>
      <c r="B11" s="242"/>
      <c r="C11" s="48">
        <f>'2nd Page'!B17</f>
        <v>0.5</v>
      </c>
      <c r="D11" s="48">
        <f t="shared" si="1"/>
        <v>0.25</v>
      </c>
      <c r="E11" s="48" t="str">
        <f t="shared" si="2"/>
        <v>Rectangular-B</v>
      </c>
      <c r="F11" s="48">
        <v>3</v>
      </c>
      <c r="G11" s="92">
        <f t="shared" si="3"/>
        <v>0.28867513459481292</v>
      </c>
      <c r="H11" s="90" t="str">
        <f>+'2nd Page'!C17</f>
        <v>°C</v>
      </c>
      <c r="I11" s="85">
        <f>'2nd Page'!E17</f>
        <v>0.23</v>
      </c>
      <c r="J11" s="86" t="s">
        <v>49</v>
      </c>
      <c r="K11" s="130">
        <f t="shared" si="0"/>
        <v>6.6395280956806968E-2</v>
      </c>
      <c r="L11" s="39">
        <f t="shared" si="4"/>
        <v>4.4083333333333344E-3</v>
      </c>
      <c r="M11" s="115" t="s">
        <v>56</v>
      </c>
      <c r="N11" s="3"/>
      <c r="O11" s="89"/>
    </row>
    <row r="12" spans="1:26" ht="21" customHeight="1">
      <c r="A12" s="241" t="s">
        <v>20</v>
      </c>
      <c r="B12" s="242"/>
      <c r="C12" s="48">
        <f>'2nd Page'!B19</f>
        <v>0.5</v>
      </c>
      <c r="D12" s="48">
        <f t="shared" si="1"/>
        <v>0.25</v>
      </c>
      <c r="E12" s="48" t="str">
        <f t="shared" si="2"/>
        <v>Rectangular-B</v>
      </c>
      <c r="F12" s="48">
        <v>3</v>
      </c>
      <c r="G12" s="92">
        <f t="shared" si="3"/>
        <v>0.28867513459481292</v>
      </c>
      <c r="H12" s="90" t="str">
        <f>+'2nd Page'!C19</f>
        <v>°C</v>
      </c>
      <c r="I12" s="85">
        <f>'2nd Page'!E19</f>
        <v>0.23</v>
      </c>
      <c r="J12" s="86" t="s">
        <v>49</v>
      </c>
      <c r="K12" s="130">
        <f t="shared" si="0"/>
        <v>6.6395280956806968E-2</v>
      </c>
      <c r="L12" s="39">
        <f t="shared" si="4"/>
        <v>4.4083333333333344E-3</v>
      </c>
      <c r="M12" s="115" t="s">
        <v>56</v>
      </c>
      <c r="N12" s="3"/>
    </row>
    <row r="13" spans="1:26" ht="21" customHeight="1">
      <c r="A13" s="241" t="s">
        <v>70</v>
      </c>
      <c r="B13" s="242"/>
      <c r="C13" s="48">
        <f>'2nd Page'!B21</f>
        <v>1.62</v>
      </c>
      <c r="D13" s="48">
        <f t="shared" si="1"/>
        <v>0.81</v>
      </c>
      <c r="E13" s="48" t="str">
        <f t="shared" si="2"/>
        <v>Rectangular-B</v>
      </c>
      <c r="F13" s="48">
        <v>3</v>
      </c>
      <c r="G13" s="92">
        <f t="shared" si="3"/>
        <v>0.9353074360871938</v>
      </c>
      <c r="H13" s="90" t="str">
        <f>+'2nd Page'!C21</f>
        <v>µ/°C/mtr</v>
      </c>
      <c r="I13" s="85">
        <f>'2nd Page'!E21</f>
        <v>0.04</v>
      </c>
      <c r="J13" s="86" t="s">
        <v>49</v>
      </c>
      <c r="K13" s="130">
        <f t="shared" si="0"/>
        <v>3.7412297443487751E-2</v>
      </c>
      <c r="L13" s="39">
        <f t="shared" si="4"/>
        <v>1.3996800000000002E-3</v>
      </c>
      <c r="M13" s="115" t="s">
        <v>56</v>
      </c>
      <c r="N13" s="3"/>
      <c r="O13" s="89"/>
    </row>
    <row r="14" spans="1:26" ht="21" customHeight="1">
      <c r="A14" s="251" t="s">
        <v>73</v>
      </c>
      <c r="B14" s="252"/>
      <c r="C14" s="129">
        <f>'2nd Page'!B23</f>
        <v>1.429840705968481</v>
      </c>
      <c r="D14" s="129">
        <f t="shared" si="1"/>
        <v>0.7149203529842405</v>
      </c>
      <c r="E14" s="131" t="s">
        <v>90</v>
      </c>
      <c r="F14" s="65">
        <v>5</v>
      </c>
      <c r="G14" s="93">
        <f>IF(F14=2, C14/2,IF(F14=5,C14/SQRT(10),   ))</f>
        <v>0.45215533220835114</v>
      </c>
      <c r="H14" s="101" t="str">
        <f>+'2nd Page'!C23</f>
        <v>µm</v>
      </c>
      <c r="I14" s="59">
        <v>1</v>
      </c>
      <c r="J14" s="87" t="s">
        <v>13</v>
      </c>
      <c r="K14" s="133">
        <f t="shared" si="0"/>
        <v>0.45215533220835114</v>
      </c>
      <c r="L14" s="40">
        <f t="shared" si="4"/>
        <v>0.20444444444444437</v>
      </c>
      <c r="M14" s="40">
        <v>9</v>
      </c>
      <c r="N14" s="3"/>
    </row>
    <row r="15" spans="1:26" ht="16.5">
      <c r="A15" s="20"/>
      <c r="B15" s="55"/>
      <c r="C15" s="57"/>
      <c r="D15" s="15"/>
      <c r="E15" s="17"/>
      <c r="F15" s="14"/>
      <c r="G15" s="14"/>
      <c r="H15" s="14"/>
      <c r="I15" s="17"/>
      <c r="J15" s="17"/>
      <c r="K15" s="17"/>
      <c r="L15" s="76">
        <f>SUM(L5:L14)</f>
        <v>8.5545454577777829</v>
      </c>
      <c r="M15" s="13"/>
      <c r="N15" s="3"/>
    </row>
    <row r="16" spans="1:26" ht="18.75" customHeight="1">
      <c r="A16" s="2"/>
      <c r="B16" s="3"/>
      <c r="C16" s="248" t="s">
        <v>16</v>
      </c>
      <c r="D16" s="248"/>
      <c r="E16" s="248"/>
      <c r="F16" s="244">
        <f>SQRT(L15)</f>
        <v>2.9248154570464413</v>
      </c>
      <c r="G16" s="244"/>
      <c r="H16" s="78"/>
      <c r="I16" s="47" t="s">
        <v>34</v>
      </c>
      <c r="J16" s="47"/>
      <c r="K16" s="41"/>
      <c r="L16" s="41"/>
      <c r="M16" s="13"/>
      <c r="N16" s="3"/>
    </row>
    <row r="17" spans="1:14" ht="16.5">
      <c r="A17" s="21"/>
      <c r="B17" s="15"/>
      <c r="C17" s="27"/>
      <c r="D17" s="16"/>
      <c r="E17" s="16"/>
      <c r="F17" s="15"/>
      <c r="G17" s="15"/>
      <c r="H17" s="15"/>
      <c r="I17" s="16"/>
      <c r="J17" s="16"/>
      <c r="K17" s="16"/>
      <c r="L17" s="16"/>
      <c r="M17" s="13"/>
      <c r="N17" s="3"/>
    </row>
    <row r="18" spans="1:14" ht="20.25" customHeight="1">
      <c r="A18" s="21"/>
      <c r="B18" s="15"/>
      <c r="C18" s="207" t="s">
        <v>31</v>
      </c>
      <c r="D18" s="207"/>
      <c r="E18" s="207"/>
      <c r="F18" s="245">
        <f>(((F16/K14)^4)*M14)</f>
        <v>15757.443520828505</v>
      </c>
      <c r="G18" s="245"/>
      <c r="H18" s="245"/>
      <c r="I18" s="16"/>
      <c r="J18" s="16"/>
      <c r="K18" s="16"/>
      <c r="L18" s="16"/>
      <c r="M18" s="61"/>
      <c r="N18" s="3"/>
    </row>
    <row r="19" spans="1:14" ht="16.5">
      <c r="A19" s="21"/>
      <c r="B19" s="15"/>
      <c r="C19" s="72" t="s">
        <v>40</v>
      </c>
      <c r="D19" s="16"/>
      <c r="E19" s="16"/>
      <c r="F19" s="15"/>
      <c r="G19" s="15"/>
      <c r="H19" s="15"/>
      <c r="I19" s="16"/>
      <c r="J19" s="16"/>
      <c r="K19" s="16"/>
      <c r="L19" s="16"/>
      <c r="M19" s="13"/>
      <c r="N19" s="3"/>
    </row>
    <row r="20" spans="1:14" ht="16.5">
      <c r="A20" s="21"/>
      <c r="B20" s="15"/>
      <c r="C20" s="27"/>
      <c r="D20" s="16"/>
      <c r="E20" s="16"/>
      <c r="F20" s="15"/>
      <c r="G20" s="15"/>
      <c r="H20" s="15"/>
      <c r="I20" s="16"/>
      <c r="J20" s="16"/>
      <c r="K20" s="16"/>
      <c r="L20" s="16"/>
      <c r="M20" s="13"/>
      <c r="N20" s="3"/>
    </row>
    <row r="21" spans="1:14" ht="19.5" customHeight="1">
      <c r="A21" s="21"/>
      <c r="B21" s="15"/>
      <c r="C21" s="207" t="s">
        <v>32</v>
      </c>
      <c r="D21" s="207"/>
      <c r="E21" s="207"/>
      <c r="F21" s="245">
        <v>2</v>
      </c>
      <c r="G21" s="245"/>
      <c r="H21" s="15"/>
      <c r="I21" s="16"/>
      <c r="J21" s="16"/>
      <c r="K21" s="16"/>
      <c r="L21" s="16"/>
      <c r="M21" s="13"/>
      <c r="N21" s="3"/>
    </row>
    <row r="22" spans="1:14" ht="16.5">
      <c r="A22" s="22"/>
      <c r="B22" s="16"/>
      <c r="C22" s="27"/>
      <c r="D22" s="16"/>
      <c r="E22" s="16"/>
      <c r="F22" s="15"/>
      <c r="G22" s="15"/>
      <c r="H22" s="15"/>
      <c r="I22" s="16"/>
      <c r="J22" s="16"/>
      <c r="K22" s="16"/>
      <c r="L22" s="16"/>
      <c r="M22" s="13"/>
      <c r="N22" s="3"/>
    </row>
    <row r="23" spans="1:14" ht="20.25" customHeight="1">
      <c r="A23" s="21"/>
      <c r="B23" s="15"/>
      <c r="C23" s="207" t="s">
        <v>33</v>
      </c>
      <c r="D23" s="207"/>
      <c r="E23" s="207"/>
      <c r="F23" s="256">
        <f>F21*F16</f>
        <v>5.8496309140928826</v>
      </c>
      <c r="G23" s="256"/>
      <c r="H23" s="79"/>
      <c r="I23" s="47" t="s">
        <v>34</v>
      </c>
      <c r="J23" s="47"/>
      <c r="K23" s="16"/>
      <c r="L23" s="16"/>
      <c r="M23" s="13"/>
      <c r="N23" s="3"/>
    </row>
    <row r="24" spans="1:14" ht="16.5">
      <c r="A24" s="21"/>
      <c r="B24" s="15"/>
      <c r="C24" s="27"/>
      <c r="D24" s="19"/>
      <c r="E24" s="28"/>
      <c r="F24" s="15"/>
      <c r="G24" s="15"/>
      <c r="H24" s="15"/>
      <c r="I24" s="16"/>
      <c r="J24" s="16"/>
      <c r="K24" s="16"/>
      <c r="L24" s="16"/>
      <c r="M24" s="13"/>
      <c r="N24" s="3"/>
    </row>
    <row r="25" spans="1:14" ht="16.5">
      <c r="A25" s="22"/>
      <c r="B25" s="16"/>
      <c r="C25" s="27"/>
      <c r="D25" s="15"/>
      <c r="E25" s="137"/>
      <c r="F25" s="15"/>
      <c r="G25" s="15"/>
      <c r="H25" s="15"/>
      <c r="I25" s="16"/>
      <c r="J25" s="16"/>
      <c r="K25" s="16"/>
      <c r="L25" s="16"/>
      <c r="M25" s="13"/>
      <c r="N25" s="3"/>
    </row>
    <row r="26" spans="1:14">
      <c r="A26" s="10"/>
      <c r="B26" s="12"/>
      <c r="C26" s="56"/>
      <c r="D26" s="3"/>
      <c r="E26" s="3"/>
      <c r="F26" s="3"/>
      <c r="G26" s="3"/>
      <c r="H26" s="3"/>
      <c r="I26" s="12"/>
      <c r="J26" s="12"/>
      <c r="K26" s="12"/>
      <c r="L26" s="12"/>
      <c r="M26" s="13"/>
      <c r="N26" s="3"/>
    </row>
    <row r="27" spans="1:14">
      <c r="A27" s="10"/>
      <c r="B27" s="12"/>
      <c r="C27" s="56"/>
      <c r="D27" s="3"/>
      <c r="E27" s="3"/>
      <c r="F27" s="3"/>
      <c r="G27" s="3"/>
      <c r="H27" s="3"/>
      <c r="I27" s="12"/>
      <c r="J27" s="12"/>
      <c r="K27" s="12"/>
      <c r="L27" s="12"/>
      <c r="M27" s="13"/>
      <c r="N27" s="3"/>
    </row>
    <row r="28" spans="1:14">
      <c r="A28" s="10"/>
      <c r="B28" s="12"/>
      <c r="C28" s="56"/>
      <c r="D28" s="3"/>
      <c r="E28" s="3"/>
      <c r="F28" s="3"/>
      <c r="G28" s="3"/>
      <c r="H28" s="3"/>
      <c r="I28" s="12"/>
      <c r="J28" s="12"/>
      <c r="K28" s="12"/>
      <c r="L28" s="12"/>
      <c r="M28" s="13"/>
      <c r="N28" s="3"/>
    </row>
    <row r="29" spans="1:14">
      <c r="A29" s="10"/>
      <c r="B29" s="12"/>
      <c r="C29" s="56"/>
      <c r="D29" s="3"/>
      <c r="E29" s="3"/>
      <c r="F29" s="3"/>
      <c r="G29" s="3"/>
      <c r="H29" s="3"/>
      <c r="I29" s="12"/>
      <c r="J29" s="12"/>
      <c r="K29" s="12"/>
      <c r="L29" s="12"/>
      <c r="M29" s="13"/>
      <c r="N29" s="3"/>
    </row>
    <row r="30" spans="1:14">
      <c r="A30" s="10"/>
      <c r="B30" s="12"/>
      <c r="C30" s="56"/>
      <c r="D30" s="3"/>
      <c r="E30" s="3"/>
      <c r="F30" s="3"/>
      <c r="G30" s="3"/>
      <c r="H30" s="3"/>
      <c r="I30" s="12"/>
      <c r="J30" s="12"/>
      <c r="K30" s="12"/>
      <c r="L30" s="12"/>
      <c r="M30" s="13"/>
      <c r="N30" s="3"/>
    </row>
    <row r="31" spans="1:14">
      <c r="A31" s="10"/>
      <c r="B31" s="12"/>
      <c r="C31" s="56"/>
      <c r="D31" s="3"/>
      <c r="E31" s="3"/>
      <c r="F31" s="3"/>
      <c r="G31" s="3"/>
      <c r="H31" s="3"/>
      <c r="I31" s="12"/>
      <c r="J31" s="12"/>
      <c r="K31" s="12"/>
      <c r="L31" s="12"/>
      <c r="M31" s="13"/>
      <c r="N31" s="3"/>
    </row>
    <row r="32" spans="1:14">
      <c r="A32" s="10"/>
      <c r="B32" s="12"/>
      <c r="C32" s="56"/>
      <c r="D32" s="3"/>
      <c r="E32" s="3"/>
      <c r="F32" s="3"/>
      <c r="G32" s="3"/>
      <c r="H32" s="3"/>
      <c r="I32" s="12"/>
      <c r="J32" s="12"/>
      <c r="K32" s="12"/>
      <c r="L32" s="12"/>
      <c r="M32" s="13"/>
      <c r="N32" s="3"/>
    </row>
    <row r="33" spans="1:14">
      <c r="A33" s="10"/>
      <c r="B33" s="12"/>
      <c r="C33" s="56"/>
      <c r="D33" s="3"/>
      <c r="E33" s="3"/>
      <c r="F33" s="3"/>
      <c r="G33" s="3"/>
      <c r="H33" s="3"/>
      <c r="I33" s="12"/>
      <c r="J33" s="12"/>
      <c r="K33" s="12"/>
      <c r="L33" s="12"/>
      <c r="M33" s="13"/>
      <c r="N33" s="3"/>
    </row>
    <row r="34" spans="1:14">
      <c r="A34" s="10"/>
      <c r="B34" s="12"/>
      <c r="C34" s="56"/>
      <c r="D34" s="3"/>
      <c r="E34" s="3"/>
      <c r="F34" s="3"/>
      <c r="G34" s="3"/>
      <c r="H34" s="3"/>
      <c r="I34" s="12"/>
      <c r="J34" s="12"/>
      <c r="K34" s="12"/>
      <c r="L34" s="12"/>
      <c r="M34" s="13"/>
      <c r="N34" s="3"/>
    </row>
    <row r="35" spans="1:14">
      <c r="A35" s="10"/>
      <c r="B35" s="12"/>
      <c r="C35" s="56"/>
      <c r="D35" s="3"/>
      <c r="E35" s="3"/>
      <c r="F35" s="3"/>
      <c r="G35" s="3"/>
      <c r="H35" s="3"/>
      <c r="I35" s="12"/>
      <c r="J35" s="12"/>
      <c r="K35" s="12"/>
      <c r="L35" s="12"/>
      <c r="M35" s="13"/>
      <c r="N35" s="3"/>
    </row>
    <row r="36" spans="1:14">
      <c r="A36" s="10"/>
      <c r="B36" s="12"/>
      <c r="C36" s="56"/>
      <c r="D36" s="3"/>
      <c r="E36" s="3"/>
      <c r="F36" s="3"/>
      <c r="G36" s="3"/>
      <c r="H36" s="3"/>
      <c r="I36" s="12"/>
      <c r="J36" s="12"/>
      <c r="K36" s="12"/>
      <c r="L36" s="12"/>
      <c r="M36" s="13"/>
      <c r="N36" s="3"/>
    </row>
    <row r="37" spans="1:14">
      <c r="A37" s="10"/>
      <c r="B37" s="12"/>
      <c r="C37" s="56"/>
      <c r="D37" s="3"/>
      <c r="E37" s="3"/>
      <c r="F37" s="3"/>
      <c r="G37" s="3"/>
      <c r="H37" s="3"/>
      <c r="I37" s="12"/>
      <c r="J37" s="12"/>
      <c r="K37" s="12"/>
      <c r="L37" s="12"/>
      <c r="M37" s="13"/>
      <c r="N37" s="3"/>
    </row>
    <row r="38" spans="1:14">
      <c r="A38" s="10"/>
      <c r="B38" s="12"/>
      <c r="C38" s="56"/>
      <c r="D38" s="3"/>
      <c r="E38" s="3"/>
      <c r="F38" s="3"/>
      <c r="G38" s="3"/>
      <c r="H38" s="3"/>
      <c r="I38" s="12"/>
      <c r="J38" s="12"/>
      <c r="K38" s="12"/>
      <c r="L38" s="12"/>
      <c r="M38" s="13"/>
      <c r="N38" s="3"/>
    </row>
    <row r="39" spans="1:14" ht="15" customHeight="1">
      <c r="A39" s="253" t="s">
        <v>94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5"/>
      <c r="N39" s="3"/>
    </row>
    <row r="40" spans="1:14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4"/>
      <c r="N40" s="3"/>
    </row>
    <row r="41" spans="1:14">
      <c r="A41" s="3"/>
      <c r="B41" s="3"/>
      <c r="C41" s="56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sheetProtection formatCells="0" formatColumns="0" formatRows="0" insertRows="0" insertHyperlinks="0"/>
  <protectedRanges>
    <protectedRange sqref="I39:M39 B39:D39 M5:M14 B5:B14" name="Range1"/>
  </protectedRanges>
  <mergeCells count="24">
    <mergeCell ref="A7:B7"/>
    <mergeCell ref="A10:B10"/>
    <mergeCell ref="A13:B13"/>
    <mergeCell ref="A14:B14"/>
    <mergeCell ref="A39:M40"/>
    <mergeCell ref="F18:H18"/>
    <mergeCell ref="F23:G23"/>
    <mergeCell ref="C23:E23"/>
    <mergeCell ref="A8:B8"/>
    <mergeCell ref="A9:B9"/>
    <mergeCell ref="A1:L2"/>
    <mergeCell ref="F16:G16"/>
    <mergeCell ref="F21:G21"/>
    <mergeCell ref="A4:B4"/>
    <mergeCell ref="C21:E21"/>
    <mergeCell ref="C18:E18"/>
    <mergeCell ref="I4:J4"/>
    <mergeCell ref="G4:H4"/>
    <mergeCell ref="A3:M3"/>
    <mergeCell ref="C16:E16"/>
    <mergeCell ref="A11:B11"/>
    <mergeCell ref="A12:B12"/>
    <mergeCell ref="A5:B5"/>
    <mergeCell ref="A6:B6"/>
  </mergeCells>
  <phoneticPr fontId="8" type="noConversion"/>
  <dataValidations count="1">
    <dataValidation type="list" allowBlank="1" showInputMessage="1" showErrorMessage="1" sqref="F5:F14">
      <formula1>$Z$10:$Z$10</formula1>
    </dataValidation>
  </dataValidations>
  <printOptions horizontalCentered="1" verticalCentered="1"/>
  <pageMargins left="1" right="0.5" top="0.5" bottom="0.5" header="0.25" footer="0.25"/>
  <pageSetup paperSize="9" scale="95" orientation="portrait" r:id="rId1"/>
  <headerFooter alignWithMargins="0">
    <oddFooter>&amp;C&amp;"Arial,Regular"&amp;10Sheet &amp;[3 of &amp;[3&amp;R&amp;"Arial,Regular"&amp;10LAB/F/08 Rev:00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topLeftCell="A8" workbookViewId="0">
      <selection activeCell="J22" sqref="J22:L22"/>
    </sheetView>
  </sheetViews>
  <sheetFormatPr defaultColWidth="8.75" defaultRowHeight="16.5"/>
  <sheetData>
    <row r="1" spans="1:12" ht="21" customHeight="1">
      <c r="A1" s="263" t="s">
        <v>134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2">
      <c r="A2" s="264"/>
      <c r="B2" s="264"/>
      <c r="C2" s="152">
        <f>Observation!B2</f>
        <v>0</v>
      </c>
      <c r="D2" s="152">
        <f>Observation!C2</f>
        <v>100</v>
      </c>
      <c r="E2" s="152">
        <f>Observation!D2</f>
        <v>200</v>
      </c>
      <c r="F2" s="152">
        <f>Observation!E2</f>
        <v>300</v>
      </c>
      <c r="G2" s="152">
        <f>Observation!F2</f>
        <v>400</v>
      </c>
      <c r="H2" s="152">
        <f>Observation!G2</f>
        <v>500</v>
      </c>
      <c r="I2" s="152">
        <f>Observation!H2</f>
        <v>600</v>
      </c>
      <c r="J2" s="152">
        <f>Observation!I2</f>
        <v>700</v>
      </c>
      <c r="K2" s="152">
        <f>Observation!J2</f>
        <v>800</v>
      </c>
      <c r="L2" s="152">
        <f>Observation!K2</f>
        <v>900</v>
      </c>
    </row>
    <row r="3" spans="1:12">
      <c r="A3" s="264" t="s">
        <v>121</v>
      </c>
      <c r="B3" s="264"/>
      <c r="C3" s="152">
        <f>Observation!B3</f>
        <v>0</v>
      </c>
      <c r="D3" s="152">
        <f>Observation!C3</f>
        <v>0</v>
      </c>
      <c r="E3" s="152">
        <f>Observation!D3</f>
        <v>0</v>
      </c>
      <c r="F3" s="152">
        <f>Observation!E3</f>
        <v>0</v>
      </c>
      <c r="G3" s="152">
        <f>Observation!F3</f>
        <v>0</v>
      </c>
      <c r="H3" s="152">
        <f>Observation!G3</f>
        <v>0</v>
      </c>
      <c r="I3" s="152">
        <f>Observation!H3</f>
        <v>0</v>
      </c>
      <c r="J3" s="152">
        <f>Observation!I3</f>
        <v>0</v>
      </c>
      <c r="K3" s="152">
        <f>Observation!J3</f>
        <v>0</v>
      </c>
      <c r="L3" s="152">
        <f>Observation!K3</f>
        <v>0</v>
      </c>
    </row>
    <row r="4" spans="1:12">
      <c r="A4" s="264" t="s">
        <v>122</v>
      </c>
      <c r="B4" s="264"/>
      <c r="C4" s="152">
        <f>Observation!B4</f>
        <v>0</v>
      </c>
      <c r="D4" s="152">
        <f>Observation!C4</f>
        <v>0</v>
      </c>
      <c r="E4" s="152">
        <f>Observation!D4</f>
        <v>-10</v>
      </c>
      <c r="F4" s="152">
        <f>Observation!E4</f>
        <v>0</v>
      </c>
      <c r="G4" s="152">
        <f>Observation!F4</f>
        <v>0</v>
      </c>
      <c r="H4" s="152">
        <f>Observation!G4</f>
        <v>0</v>
      </c>
      <c r="I4" s="152">
        <f>Observation!H4</f>
        <v>0</v>
      </c>
      <c r="J4" s="152">
        <f>Observation!I4</f>
        <v>0</v>
      </c>
      <c r="K4" s="152">
        <f>Observation!J4</f>
        <v>0</v>
      </c>
      <c r="L4" s="152">
        <f>Observation!K4</f>
        <v>0</v>
      </c>
    </row>
    <row r="5" spans="1:12">
      <c r="A5" s="264" t="s">
        <v>123</v>
      </c>
      <c r="B5" s="264"/>
      <c r="C5" s="152">
        <f>Observation!B5</f>
        <v>-10</v>
      </c>
      <c r="D5" s="152">
        <f>Observation!C5</f>
        <v>0</v>
      </c>
      <c r="E5" s="152" t="str">
        <f>Observation!D5</f>
        <v>~</v>
      </c>
      <c r="F5" s="152" t="str">
        <f>Observation!E5</f>
        <v>~</v>
      </c>
      <c r="G5" s="152" t="str">
        <f>Observation!F5</f>
        <v>~</v>
      </c>
      <c r="H5" s="152" t="str">
        <f>Observation!G5</f>
        <v>~</v>
      </c>
      <c r="I5" s="152" t="str">
        <f>Observation!H5</f>
        <v>~</v>
      </c>
      <c r="J5" s="152" t="str">
        <f>Observation!I5</f>
        <v>~</v>
      </c>
      <c r="K5" s="152" t="str">
        <f>Observation!J5</f>
        <v>~</v>
      </c>
      <c r="L5" s="152">
        <f>Observation!K5</f>
        <v>0</v>
      </c>
    </row>
    <row r="6" spans="1:12">
      <c r="A6" s="264" t="s">
        <v>124</v>
      </c>
      <c r="B6" s="264"/>
      <c r="C6" s="152">
        <f>Observation!B6</f>
        <v>0</v>
      </c>
      <c r="D6" s="152">
        <f>Observation!C6</f>
        <v>0</v>
      </c>
      <c r="E6" s="152" t="str">
        <f>Observation!D6</f>
        <v>~</v>
      </c>
      <c r="F6" s="152" t="str">
        <f>Observation!E6</f>
        <v>~</v>
      </c>
      <c r="G6" s="152" t="str">
        <f>Observation!F6</f>
        <v>~</v>
      </c>
      <c r="H6" s="152" t="str">
        <f>Observation!G6</f>
        <v>~</v>
      </c>
      <c r="I6" s="152" t="str">
        <f>Observation!H6</f>
        <v>~</v>
      </c>
      <c r="J6" s="152" t="str">
        <f>Observation!I6</f>
        <v>~</v>
      </c>
      <c r="K6" s="152" t="str">
        <f>Observation!J6</f>
        <v>~</v>
      </c>
      <c r="L6" s="152">
        <f>Observation!K6</f>
        <v>0</v>
      </c>
    </row>
    <row r="7" spans="1:12">
      <c r="A7" s="264" t="s">
        <v>125</v>
      </c>
      <c r="B7" s="264"/>
      <c r="C7" s="152">
        <f>Observation!B7</f>
        <v>0</v>
      </c>
      <c r="D7" s="152">
        <f>Observation!C7</f>
        <v>0</v>
      </c>
      <c r="E7" s="152" t="str">
        <f>Observation!D7</f>
        <v>~</v>
      </c>
      <c r="F7" s="152" t="str">
        <f>Observation!E7</f>
        <v>~</v>
      </c>
      <c r="G7" s="152" t="str">
        <f>Observation!F7</f>
        <v>~</v>
      </c>
      <c r="H7" s="152" t="str">
        <f>Observation!G7</f>
        <v>~</v>
      </c>
      <c r="I7" s="152" t="str">
        <f>Observation!H7</f>
        <v>~</v>
      </c>
      <c r="J7" s="152" t="str">
        <f>Observation!I7</f>
        <v>~</v>
      </c>
      <c r="K7" s="152" t="str">
        <f>Observation!J7</f>
        <v>~</v>
      </c>
      <c r="L7" s="152">
        <f>Observation!K7</f>
        <v>0</v>
      </c>
    </row>
    <row r="8" spans="1:12">
      <c r="A8" s="264" t="s">
        <v>126</v>
      </c>
      <c r="B8" s="264"/>
      <c r="C8" s="152">
        <f>Observation!B8</f>
        <v>0</v>
      </c>
      <c r="D8" s="152">
        <f>Observation!C8</f>
        <v>0</v>
      </c>
      <c r="E8" s="152" t="str">
        <f>Observation!D8</f>
        <v>~</v>
      </c>
      <c r="F8" s="152" t="str">
        <f>Observation!E8</f>
        <v>~</v>
      </c>
      <c r="G8" s="152" t="str">
        <f>Observation!F8</f>
        <v>~</v>
      </c>
      <c r="H8" s="152" t="str">
        <f>Observation!G8</f>
        <v>~</v>
      </c>
      <c r="I8" s="152" t="str">
        <f>Observation!H8</f>
        <v>~</v>
      </c>
      <c r="J8" s="152" t="str">
        <f>Observation!I8</f>
        <v>~</v>
      </c>
      <c r="K8" s="152" t="str">
        <f>Observation!J8</f>
        <v>~</v>
      </c>
      <c r="L8" s="152">
        <f>Observation!K8</f>
        <v>-10</v>
      </c>
    </row>
    <row r="9" spans="1:12">
      <c r="A9" s="264" t="s">
        <v>127</v>
      </c>
      <c r="B9" s="264"/>
      <c r="C9" s="152">
        <f>Observation!B9</f>
        <v>-10</v>
      </c>
      <c r="D9" s="152">
        <f>Observation!C9</f>
        <v>-10</v>
      </c>
      <c r="E9" s="152" t="str">
        <f>Observation!D9</f>
        <v>~</v>
      </c>
      <c r="F9" s="152" t="str">
        <f>Observation!E9</f>
        <v>~</v>
      </c>
      <c r="G9" s="152" t="str">
        <f>Observation!F9</f>
        <v>~</v>
      </c>
      <c r="H9" s="152" t="str">
        <f>Observation!G9</f>
        <v>~</v>
      </c>
      <c r="I9" s="152" t="str">
        <f>Observation!H9</f>
        <v>~</v>
      </c>
      <c r="J9" s="152" t="str">
        <f>Observation!I9</f>
        <v>~</v>
      </c>
      <c r="K9" s="152" t="str">
        <f>Observation!J9</f>
        <v>~</v>
      </c>
      <c r="L9" s="152">
        <f>Observation!K9</f>
        <v>0</v>
      </c>
    </row>
    <row r="10" spans="1:12">
      <c r="A10" s="264" t="s">
        <v>128</v>
      </c>
      <c r="B10" s="264"/>
      <c r="C10" s="152">
        <f>Observation!B10</f>
        <v>0</v>
      </c>
      <c r="D10" s="152">
        <f>Observation!C10</f>
        <v>-10</v>
      </c>
      <c r="E10" s="152" t="str">
        <f>Observation!D10</f>
        <v>~</v>
      </c>
      <c r="F10" s="152" t="str">
        <f>Observation!E10</f>
        <v>~</v>
      </c>
      <c r="G10" s="152" t="str">
        <f>Observation!F10</f>
        <v>~</v>
      </c>
      <c r="H10" s="152" t="str">
        <f>Observation!G10</f>
        <v>~</v>
      </c>
      <c r="I10" s="152" t="str">
        <f>Observation!H10</f>
        <v>~</v>
      </c>
      <c r="J10" s="152" t="str">
        <f>Observation!I10</f>
        <v>~</v>
      </c>
      <c r="K10" s="152" t="str">
        <f>Observation!J10</f>
        <v>~</v>
      </c>
      <c r="L10" s="152">
        <f>Observation!K10</f>
        <v>-10</v>
      </c>
    </row>
    <row r="11" spans="1:12">
      <c r="A11" s="264" t="s">
        <v>129</v>
      </c>
      <c r="B11" s="264"/>
      <c r="C11" s="152">
        <f>Observation!B11</f>
        <v>0</v>
      </c>
      <c r="D11" s="152">
        <f>Observation!C11</f>
        <v>0</v>
      </c>
      <c r="E11" s="152" t="str">
        <f>Observation!D11</f>
        <v>~</v>
      </c>
      <c r="F11" s="152" t="str">
        <f>Observation!E11</f>
        <v>~</v>
      </c>
      <c r="G11" s="152" t="str">
        <f>Observation!F11</f>
        <v>~</v>
      </c>
      <c r="H11" s="152" t="str">
        <f>Observation!G11</f>
        <v>~</v>
      </c>
      <c r="I11" s="152" t="str">
        <f>Observation!H11</f>
        <v>~</v>
      </c>
      <c r="J11" s="152" t="str">
        <f>Observation!I11</f>
        <v>~</v>
      </c>
      <c r="K11" s="152" t="str">
        <f>Observation!J11</f>
        <v>~</v>
      </c>
      <c r="L11" s="152">
        <f>Observation!K11</f>
        <v>0</v>
      </c>
    </row>
    <row r="12" spans="1:12">
      <c r="A12" s="264" t="s">
        <v>130</v>
      </c>
      <c r="B12" s="264"/>
      <c r="C12" s="152">
        <f>Observation!B12</f>
        <v>0</v>
      </c>
      <c r="D12" s="152">
        <f>Observation!C12</f>
        <v>0</v>
      </c>
      <c r="E12" s="152" t="str">
        <f>Observation!D12</f>
        <v>~</v>
      </c>
      <c r="F12" s="152" t="str">
        <f>Observation!E12</f>
        <v>~</v>
      </c>
      <c r="G12" s="152" t="str">
        <f>Observation!F12</f>
        <v>~</v>
      </c>
      <c r="H12" s="152" t="str">
        <f>Observation!G12</f>
        <v>~</v>
      </c>
      <c r="I12" s="152" t="str">
        <f>Observation!H12</f>
        <v>~</v>
      </c>
      <c r="J12" s="152" t="str">
        <f>Observation!I12</f>
        <v>~</v>
      </c>
      <c r="K12" s="152" t="str">
        <f>Observation!J12</f>
        <v>~</v>
      </c>
      <c r="L12" s="152">
        <f>Observation!K12</f>
        <v>0</v>
      </c>
    </row>
    <row r="13" spans="1:12">
      <c r="A13" s="264" t="s">
        <v>131</v>
      </c>
      <c r="B13" s="264"/>
      <c r="C13" s="152">
        <f>Observation!B13</f>
        <v>-10</v>
      </c>
      <c r="D13" s="152">
        <f>Observation!C13</f>
        <v>-10</v>
      </c>
      <c r="E13" s="152" t="str">
        <f>Observation!D13</f>
        <v>~</v>
      </c>
      <c r="F13" s="152" t="str">
        <f>Observation!E13</f>
        <v>~</v>
      </c>
      <c r="G13" s="152" t="str">
        <f>Observation!F13</f>
        <v>~</v>
      </c>
      <c r="H13" s="152" t="str">
        <f>Observation!G13</f>
        <v>~</v>
      </c>
      <c r="I13" s="152" t="str">
        <f>Observation!H13</f>
        <v>~</v>
      </c>
      <c r="J13" s="152" t="str">
        <f>Observation!I13</f>
        <v>~</v>
      </c>
      <c r="K13" s="152" t="str">
        <f>Observation!J13</f>
        <v>~</v>
      </c>
      <c r="L13" s="152">
        <f>Observation!K13</f>
        <v>-10</v>
      </c>
    </row>
    <row r="14" spans="1:12">
      <c r="A14" s="264" t="s">
        <v>132</v>
      </c>
      <c r="B14" s="264"/>
      <c r="C14" s="152">
        <f>Observation!B14</f>
        <v>-10</v>
      </c>
      <c r="D14" s="152">
        <f>Observation!C14</f>
        <v>-10</v>
      </c>
      <c r="E14" s="152" t="str">
        <f>Observation!D14</f>
        <v>~</v>
      </c>
      <c r="F14" s="152" t="str">
        <f>Observation!E14</f>
        <v>~</v>
      </c>
      <c r="G14" s="152" t="str">
        <f>Observation!F14</f>
        <v>~</v>
      </c>
      <c r="H14" s="152" t="str">
        <f>Observation!G14</f>
        <v>~</v>
      </c>
      <c r="I14" s="152" t="str">
        <f>Observation!H14</f>
        <v>~</v>
      </c>
      <c r="J14" s="152" t="str">
        <f>Observation!I14</f>
        <v>~</v>
      </c>
      <c r="K14" s="152" t="str">
        <f>Observation!J14</f>
        <v>~</v>
      </c>
      <c r="L14" s="152">
        <f>Observation!K14</f>
        <v>-10</v>
      </c>
    </row>
    <row r="15" spans="1:12">
      <c r="A15" s="141"/>
      <c r="B15" s="141"/>
      <c r="C15" s="154"/>
      <c r="D15" s="154"/>
      <c r="E15" s="154"/>
      <c r="F15" s="154"/>
      <c r="G15" s="154"/>
      <c r="H15" s="154"/>
      <c r="I15" s="154"/>
      <c r="J15" s="154"/>
      <c r="K15" s="154"/>
      <c r="L15" s="154"/>
    </row>
    <row r="16" spans="1:12" ht="16.5" customHeight="1">
      <c r="A16" s="140" t="s">
        <v>135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</row>
    <row r="17" spans="1:12" ht="42" customHeight="1">
      <c r="A17" s="264" t="s">
        <v>99</v>
      </c>
      <c r="B17" s="264"/>
      <c r="C17" s="264"/>
      <c r="D17" s="264"/>
      <c r="E17" s="264"/>
      <c r="F17" s="264"/>
      <c r="G17" s="264" t="s">
        <v>100</v>
      </c>
      <c r="H17" s="264"/>
      <c r="I17" s="264"/>
      <c r="J17" s="265" t="s">
        <v>101</v>
      </c>
      <c r="K17" s="265"/>
      <c r="L17" s="265"/>
    </row>
    <row r="18" spans="1:12">
      <c r="A18" s="257" t="s">
        <v>102</v>
      </c>
      <c r="B18" s="257"/>
      <c r="C18" s="257"/>
      <c r="D18" s="257"/>
      <c r="E18" s="257"/>
      <c r="F18" s="257"/>
      <c r="G18" s="258">
        <v>3.0000000000000001E-3</v>
      </c>
      <c r="H18" s="258"/>
      <c r="I18" s="258"/>
      <c r="J18" s="262">
        <f>Observation!B15</f>
        <v>0</v>
      </c>
      <c r="K18" s="262"/>
      <c r="L18" s="262"/>
    </row>
    <row r="19" spans="1:12">
      <c r="A19" s="257" t="s">
        <v>103</v>
      </c>
      <c r="B19" s="257"/>
      <c r="C19" s="257"/>
      <c r="D19" s="257"/>
      <c r="E19" s="257"/>
      <c r="F19" s="257"/>
      <c r="G19" s="258">
        <v>3.0000000000000001E-3</v>
      </c>
      <c r="H19" s="258"/>
      <c r="I19" s="258"/>
      <c r="J19" s="262">
        <f>Observation!F15</f>
        <v>0</v>
      </c>
      <c r="K19" s="262"/>
      <c r="L19" s="262"/>
    </row>
    <row r="20" spans="1:12">
      <c r="A20" s="257" t="s">
        <v>104</v>
      </c>
      <c r="B20" s="257"/>
      <c r="C20" s="257"/>
      <c r="D20" s="257"/>
      <c r="E20" s="257"/>
      <c r="F20" s="257"/>
      <c r="G20" s="258">
        <v>2E-3</v>
      </c>
      <c r="H20" s="258"/>
      <c r="I20" s="258"/>
      <c r="J20" s="262">
        <f>Observation!J15</f>
        <v>1E-3</v>
      </c>
      <c r="K20" s="262"/>
      <c r="L20" s="262"/>
    </row>
    <row r="21" spans="1:12">
      <c r="A21" s="257" t="s">
        <v>105</v>
      </c>
      <c r="B21" s="257"/>
      <c r="C21" s="257"/>
      <c r="D21" s="257"/>
      <c r="E21" s="257"/>
      <c r="F21" s="257"/>
      <c r="G21" s="258">
        <v>5.0000000000000001E-3</v>
      </c>
      <c r="H21" s="258"/>
      <c r="I21" s="258"/>
      <c r="J21" s="258">
        <f>Observation!E21</f>
        <v>1E-3</v>
      </c>
      <c r="K21" s="258"/>
      <c r="L21" s="258"/>
    </row>
    <row r="22" spans="1:12">
      <c r="A22" s="257" t="s">
        <v>106</v>
      </c>
      <c r="B22" s="257"/>
      <c r="C22" s="257"/>
      <c r="D22" s="257"/>
      <c r="E22" s="257"/>
      <c r="F22" s="257"/>
      <c r="G22" s="258">
        <v>0.01</v>
      </c>
      <c r="H22" s="258"/>
      <c r="I22" s="258"/>
      <c r="J22" s="258">
        <f>Observation!E22</f>
        <v>2E-3</v>
      </c>
      <c r="K22" s="258"/>
      <c r="L22" s="258"/>
    </row>
    <row r="23" spans="1:12">
      <c r="A23" s="257" t="s">
        <v>107</v>
      </c>
      <c r="B23" s="257"/>
      <c r="C23" s="257"/>
      <c r="D23" s="257"/>
      <c r="E23" s="257"/>
      <c r="F23" s="257"/>
      <c r="G23" s="258">
        <v>1.4999999999999999E-2</v>
      </c>
      <c r="H23" s="258"/>
      <c r="I23" s="258"/>
      <c r="J23" s="258">
        <f>Observation!E23</f>
        <v>1E-3</v>
      </c>
      <c r="K23" s="258"/>
      <c r="L23" s="258"/>
    </row>
    <row r="24" spans="1:12">
      <c r="A24" s="257" t="s">
        <v>108</v>
      </c>
      <c r="B24" s="257"/>
      <c r="C24" s="257"/>
      <c r="D24" s="257"/>
      <c r="E24" s="257"/>
      <c r="F24" s="257"/>
      <c r="G24" s="258">
        <v>0.02</v>
      </c>
      <c r="H24" s="258"/>
      <c r="I24" s="258"/>
      <c r="J24" s="258">
        <f>Observation!E24</f>
        <v>2E-3</v>
      </c>
      <c r="K24" s="258"/>
      <c r="L24" s="258"/>
    </row>
    <row r="25" spans="1:12" ht="16.5" customHeight="1"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6"/>
    </row>
    <row r="26" spans="1:12" ht="29.25" customHeight="1">
      <c r="A26" s="259" t="s">
        <v>136</v>
      </c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1"/>
    </row>
  </sheetData>
  <protectedRanges>
    <protectedRange sqref="C15:D15 L15 J18:L20" name="Range1"/>
  </protectedRanges>
  <mergeCells count="39">
    <mergeCell ref="G17:I17"/>
    <mergeCell ref="J17:L17"/>
    <mergeCell ref="A11:B11"/>
    <mergeCell ref="A12:B12"/>
    <mergeCell ref="A13:B13"/>
    <mergeCell ref="A14:B14"/>
    <mergeCell ref="A17:F17"/>
    <mergeCell ref="A6:B6"/>
    <mergeCell ref="A7:B7"/>
    <mergeCell ref="A8:B8"/>
    <mergeCell ref="A9:B9"/>
    <mergeCell ref="A10:B10"/>
    <mergeCell ref="A1:L1"/>
    <mergeCell ref="A2:B2"/>
    <mergeCell ref="A3:B3"/>
    <mergeCell ref="A4:B4"/>
    <mergeCell ref="A5:B5"/>
    <mergeCell ref="A18:F18"/>
    <mergeCell ref="G18:I18"/>
    <mergeCell ref="J18:L18"/>
    <mergeCell ref="A19:F19"/>
    <mergeCell ref="G19:I19"/>
    <mergeCell ref="J19:L19"/>
    <mergeCell ref="A20:F20"/>
    <mergeCell ref="G20:I20"/>
    <mergeCell ref="J20:L20"/>
    <mergeCell ref="A21:F21"/>
    <mergeCell ref="G21:I21"/>
    <mergeCell ref="J21:L21"/>
    <mergeCell ref="A24:F24"/>
    <mergeCell ref="G24:I24"/>
    <mergeCell ref="J24:L24"/>
    <mergeCell ref="A26:L26"/>
    <mergeCell ref="A22:F22"/>
    <mergeCell ref="G22:I22"/>
    <mergeCell ref="J22:L22"/>
    <mergeCell ref="A23:F23"/>
    <mergeCell ref="G23:I23"/>
    <mergeCell ref="J23:L23"/>
  </mergeCells>
  <conditionalFormatting sqref="J18:L18">
    <cfRule type="cellIs" dxfId="2" priority="3" stopIfTrue="1" operator="greaterThan">
      <formula>$I$44</formula>
    </cfRule>
  </conditionalFormatting>
  <conditionalFormatting sqref="J19:L19">
    <cfRule type="cellIs" dxfId="1" priority="2" stopIfTrue="1" operator="greaterThan">
      <formula>$I$45</formula>
    </cfRule>
  </conditionalFormatting>
  <conditionalFormatting sqref="J20:L20">
    <cfRule type="cellIs" dxfId="0" priority="1" stopIfTrue="1" operator="greaterThan">
      <formula>$I$46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selection activeCell="J16" sqref="J16"/>
    </sheetView>
  </sheetViews>
  <sheetFormatPr defaultRowHeight="16.5"/>
  <cols>
    <col min="1" max="1" width="13.25" customWidth="1"/>
    <col min="3" max="3" width="9.125" customWidth="1"/>
    <col min="4" max="4" width="10.625" customWidth="1"/>
  </cols>
  <sheetData>
    <row r="1" spans="1:11">
      <c r="A1" s="277" t="s">
        <v>120</v>
      </c>
      <c r="B1" s="278"/>
      <c r="C1" s="278"/>
      <c r="D1" s="278"/>
      <c r="E1" s="278"/>
      <c r="F1" s="278"/>
      <c r="G1" s="278"/>
      <c r="H1" s="278"/>
      <c r="I1" s="278"/>
      <c r="J1" s="278"/>
      <c r="K1" s="279"/>
    </row>
    <row r="2" spans="1:11">
      <c r="A2" s="143"/>
      <c r="B2" s="152">
        <v>0</v>
      </c>
      <c r="C2" s="152">
        <v>100</v>
      </c>
      <c r="D2" s="152">
        <v>200</v>
      </c>
      <c r="E2" s="152">
        <v>300</v>
      </c>
      <c r="F2" s="152">
        <v>400</v>
      </c>
      <c r="G2" s="152">
        <v>500</v>
      </c>
      <c r="H2" s="152">
        <v>600</v>
      </c>
      <c r="I2" s="152">
        <v>700</v>
      </c>
      <c r="J2" s="152">
        <v>800</v>
      </c>
      <c r="K2" s="152">
        <v>900</v>
      </c>
    </row>
    <row r="3" spans="1:11">
      <c r="A3" s="143" t="s">
        <v>121</v>
      </c>
      <c r="B3" s="153">
        <v>0</v>
      </c>
      <c r="C3" s="153">
        <v>0</v>
      </c>
      <c r="D3" s="153">
        <v>0</v>
      </c>
      <c r="E3" s="153">
        <v>0</v>
      </c>
      <c r="F3" s="153">
        <v>0</v>
      </c>
      <c r="G3" s="153">
        <v>0</v>
      </c>
      <c r="H3" s="153">
        <v>0</v>
      </c>
      <c r="I3" s="153">
        <v>0</v>
      </c>
      <c r="J3" s="153">
        <v>0</v>
      </c>
      <c r="K3" s="153">
        <v>0</v>
      </c>
    </row>
    <row r="4" spans="1:11">
      <c r="A4" s="143" t="s">
        <v>122</v>
      </c>
      <c r="B4" s="153">
        <v>0</v>
      </c>
      <c r="C4" s="153">
        <v>0</v>
      </c>
      <c r="D4" s="153">
        <v>-10</v>
      </c>
      <c r="E4" s="153">
        <v>0</v>
      </c>
      <c r="F4" s="153">
        <v>0</v>
      </c>
      <c r="G4" s="153">
        <v>0</v>
      </c>
      <c r="H4" s="153">
        <v>0</v>
      </c>
      <c r="I4" s="153">
        <v>0</v>
      </c>
      <c r="J4" s="153">
        <v>0</v>
      </c>
      <c r="K4" s="153">
        <v>0</v>
      </c>
    </row>
    <row r="5" spans="1:11">
      <c r="A5" s="143" t="s">
        <v>123</v>
      </c>
      <c r="B5" s="153">
        <v>-10</v>
      </c>
      <c r="C5" s="153">
        <v>0</v>
      </c>
      <c r="D5" s="153" t="s">
        <v>98</v>
      </c>
      <c r="E5" s="153" t="s">
        <v>98</v>
      </c>
      <c r="F5" s="153" t="s">
        <v>98</v>
      </c>
      <c r="G5" s="153" t="s">
        <v>98</v>
      </c>
      <c r="H5" s="153" t="s">
        <v>98</v>
      </c>
      <c r="I5" s="153" t="s">
        <v>98</v>
      </c>
      <c r="J5" s="153" t="s">
        <v>98</v>
      </c>
      <c r="K5" s="153">
        <v>0</v>
      </c>
    </row>
    <row r="6" spans="1:11">
      <c r="A6" s="143" t="s">
        <v>124</v>
      </c>
      <c r="B6" s="153">
        <v>0</v>
      </c>
      <c r="C6" s="153">
        <v>0</v>
      </c>
      <c r="D6" s="153" t="s">
        <v>98</v>
      </c>
      <c r="E6" s="153" t="s">
        <v>98</v>
      </c>
      <c r="F6" s="153" t="s">
        <v>98</v>
      </c>
      <c r="G6" s="153" t="s">
        <v>98</v>
      </c>
      <c r="H6" s="153" t="s">
        <v>98</v>
      </c>
      <c r="I6" s="153" t="s">
        <v>98</v>
      </c>
      <c r="J6" s="153" t="s">
        <v>98</v>
      </c>
      <c r="K6" s="153">
        <v>0</v>
      </c>
    </row>
    <row r="7" spans="1:11">
      <c r="A7" s="143" t="s">
        <v>125</v>
      </c>
      <c r="B7" s="153">
        <v>0</v>
      </c>
      <c r="C7" s="153">
        <v>0</v>
      </c>
      <c r="D7" s="153" t="s">
        <v>98</v>
      </c>
      <c r="E7" s="153" t="s">
        <v>98</v>
      </c>
      <c r="F7" s="153" t="s">
        <v>98</v>
      </c>
      <c r="G7" s="153" t="s">
        <v>98</v>
      </c>
      <c r="H7" s="153" t="s">
        <v>98</v>
      </c>
      <c r="I7" s="153" t="s">
        <v>98</v>
      </c>
      <c r="J7" s="153" t="s">
        <v>98</v>
      </c>
      <c r="K7" s="153">
        <v>0</v>
      </c>
    </row>
    <row r="8" spans="1:11">
      <c r="A8" s="143" t="s">
        <v>126</v>
      </c>
      <c r="B8" s="153">
        <v>0</v>
      </c>
      <c r="C8" s="153">
        <v>0</v>
      </c>
      <c r="D8" s="153" t="s">
        <v>98</v>
      </c>
      <c r="E8" s="153" t="s">
        <v>98</v>
      </c>
      <c r="F8" s="153" t="s">
        <v>98</v>
      </c>
      <c r="G8" s="153" t="s">
        <v>98</v>
      </c>
      <c r="H8" s="153" t="s">
        <v>98</v>
      </c>
      <c r="I8" s="153" t="s">
        <v>98</v>
      </c>
      <c r="J8" s="153" t="s">
        <v>98</v>
      </c>
      <c r="K8" s="153">
        <v>-10</v>
      </c>
    </row>
    <row r="9" spans="1:11">
      <c r="A9" s="143" t="s">
        <v>127</v>
      </c>
      <c r="B9" s="153">
        <v>-10</v>
      </c>
      <c r="C9" s="153">
        <v>-10</v>
      </c>
      <c r="D9" s="153" t="s">
        <v>98</v>
      </c>
      <c r="E9" s="153" t="s">
        <v>98</v>
      </c>
      <c r="F9" s="153" t="s">
        <v>98</v>
      </c>
      <c r="G9" s="153" t="s">
        <v>98</v>
      </c>
      <c r="H9" s="153" t="s">
        <v>98</v>
      </c>
      <c r="I9" s="153" t="s">
        <v>98</v>
      </c>
      <c r="J9" s="153" t="s">
        <v>98</v>
      </c>
      <c r="K9" s="153">
        <v>0</v>
      </c>
    </row>
    <row r="10" spans="1:11">
      <c r="A10" s="143" t="s">
        <v>128</v>
      </c>
      <c r="B10" s="153">
        <v>0</v>
      </c>
      <c r="C10" s="153">
        <v>-10</v>
      </c>
      <c r="D10" s="153" t="s">
        <v>98</v>
      </c>
      <c r="E10" s="153" t="s">
        <v>98</v>
      </c>
      <c r="F10" s="153" t="s">
        <v>98</v>
      </c>
      <c r="G10" s="153" t="s">
        <v>98</v>
      </c>
      <c r="H10" s="153" t="s">
        <v>98</v>
      </c>
      <c r="I10" s="153" t="s">
        <v>98</v>
      </c>
      <c r="J10" s="153" t="s">
        <v>98</v>
      </c>
      <c r="K10" s="153">
        <v>-10</v>
      </c>
    </row>
    <row r="11" spans="1:11">
      <c r="A11" s="143" t="s">
        <v>129</v>
      </c>
      <c r="B11" s="153">
        <v>0</v>
      </c>
      <c r="C11" s="153">
        <v>0</v>
      </c>
      <c r="D11" s="153" t="s">
        <v>98</v>
      </c>
      <c r="E11" s="153" t="s">
        <v>98</v>
      </c>
      <c r="F11" s="153" t="s">
        <v>98</v>
      </c>
      <c r="G11" s="153" t="s">
        <v>98</v>
      </c>
      <c r="H11" s="153" t="s">
        <v>98</v>
      </c>
      <c r="I11" s="153" t="s">
        <v>98</v>
      </c>
      <c r="J11" s="153" t="s">
        <v>98</v>
      </c>
      <c r="K11" s="153">
        <v>0</v>
      </c>
    </row>
    <row r="12" spans="1:11">
      <c r="A12" s="143" t="s">
        <v>130</v>
      </c>
      <c r="B12" s="153">
        <v>0</v>
      </c>
      <c r="C12" s="153">
        <v>0</v>
      </c>
      <c r="D12" s="153" t="s">
        <v>98</v>
      </c>
      <c r="E12" s="153" t="s">
        <v>98</v>
      </c>
      <c r="F12" s="153" t="s">
        <v>98</v>
      </c>
      <c r="G12" s="153" t="s">
        <v>98</v>
      </c>
      <c r="H12" s="153" t="s">
        <v>98</v>
      </c>
      <c r="I12" s="153" t="s">
        <v>98</v>
      </c>
      <c r="J12" s="153" t="s">
        <v>98</v>
      </c>
      <c r="K12" s="153">
        <v>0</v>
      </c>
    </row>
    <row r="13" spans="1:11">
      <c r="A13" s="143" t="s">
        <v>131</v>
      </c>
      <c r="B13" s="153">
        <v>-10</v>
      </c>
      <c r="C13" s="153">
        <v>-10</v>
      </c>
      <c r="D13" s="153" t="s">
        <v>98</v>
      </c>
      <c r="E13" s="153" t="s">
        <v>98</v>
      </c>
      <c r="F13" s="153" t="s">
        <v>98</v>
      </c>
      <c r="G13" s="153" t="s">
        <v>98</v>
      </c>
      <c r="H13" s="153" t="s">
        <v>98</v>
      </c>
      <c r="I13" s="153" t="s">
        <v>98</v>
      </c>
      <c r="J13" s="153" t="s">
        <v>98</v>
      </c>
      <c r="K13" s="153">
        <v>-10</v>
      </c>
    </row>
    <row r="14" spans="1:11">
      <c r="A14" s="143" t="s">
        <v>132</v>
      </c>
      <c r="B14" s="153">
        <v>-10</v>
      </c>
      <c r="C14" s="153">
        <v>-10</v>
      </c>
      <c r="D14" s="153" t="s">
        <v>98</v>
      </c>
      <c r="E14" s="153" t="s">
        <v>98</v>
      </c>
      <c r="F14" s="153" t="s">
        <v>98</v>
      </c>
      <c r="G14" s="153" t="s">
        <v>98</v>
      </c>
      <c r="H14" s="153" t="s">
        <v>98</v>
      </c>
      <c r="I14" s="153" t="s">
        <v>98</v>
      </c>
      <c r="J14" s="153" t="s">
        <v>98</v>
      </c>
      <c r="K14" s="153">
        <v>-10</v>
      </c>
    </row>
    <row r="15" spans="1:11">
      <c r="A15" s="145" t="s">
        <v>109</v>
      </c>
      <c r="B15" s="266"/>
      <c r="C15" s="266"/>
      <c r="D15" s="269" t="s">
        <v>103</v>
      </c>
      <c r="E15" s="269"/>
      <c r="F15" s="270"/>
      <c r="G15" s="270"/>
      <c r="H15" s="266" t="s">
        <v>133</v>
      </c>
      <c r="I15" s="266"/>
      <c r="J15" s="267">
        <f>AVERAGE(A19:E19)</f>
        <v>1E-3</v>
      </c>
      <c r="K15" s="268"/>
    </row>
    <row r="16" spans="1:11">
      <c r="A16" s="146"/>
      <c r="B16" s="144"/>
      <c r="C16" s="147"/>
      <c r="D16" s="147"/>
      <c r="E16" s="147"/>
      <c r="F16" s="147"/>
      <c r="G16" s="147"/>
      <c r="H16" s="147"/>
      <c r="I16" s="144"/>
      <c r="J16" s="144"/>
      <c r="K16" s="148"/>
    </row>
    <row r="17" spans="1:6">
      <c r="A17" s="274" t="s">
        <v>110</v>
      </c>
      <c r="B17" s="275"/>
      <c r="C17" s="275"/>
      <c r="D17" s="275"/>
      <c r="E17" s="276"/>
      <c r="F17" s="144"/>
    </row>
    <row r="18" spans="1:6">
      <c r="A18" s="143" t="s">
        <v>112</v>
      </c>
      <c r="B18" s="149" t="s">
        <v>113</v>
      </c>
      <c r="C18" s="149" t="s">
        <v>114</v>
      </c>
      <c r="D18" s="142" t="s">
        <v>115</v>
      </c>
      <c r="E18" s="149" t="s">
        <v>116</v>
      </c>
      <c r="F18" s="144"/>
    </row>
    <row r="19" spans="1:6">
      <c r="A19" s="150">
        <v>1E-3</v>
      </c>
      <c r="B19" s="150">
        <v>1E-3</v>
      </c>
      <c r="C19" s="150">
        <v>1E-3</v>
      </c>
      <c r="D19" s="150">
        <v>1E-3</v>
      </c>
      <c r="E19" s="150">
        <v>1E-3</v>
      </c>
      <c r="F19" s="147"/>
    </row>
    <row r="20" spans="1:6">
      <c r="A20" s="146"/>
      <c r="B20" s="144"/>
      <c r="C20" s="144"/>
      <c r="D20" s="151"/>
      <c r="E20" s="144"/>
      <c r="F20" s="144"/>
    </row>
    <row r="21" spans="1:6">
      <c r="A21" s="271" t="s">
        <v>111</v>
      </c>
      <c r="B21" s="272"/>
      <c r="C21" s="272"/>
      <c r="D21" s="273"/>
      <c r="E21" s="138">
        <v>1E-3</v>
      </c>
    </row>
    <row r="22" spans="1:6">
      <c r="A22" s="271" t="s">
        <v>117</v>
      </c>
      <c r="B22" s="272"/>
      <c r="C22" s="272"/>
      <c r="D22" s="273"/>
      <c r="E22" s="138">
        <v>2E-3</v>
      </c>
    </row>
    <row r="23" spans="1:6">
      <c r="A23" s="271" t="s">
        <v>118</v>
      </c>
      <c r="B23" s="272"/>
      <c r="C23" s="272"/>
      <c r="D23" s="273"/>
      <c r="E23" s="138">
        <v>1E-3</v>
      </c>
    </row>
    <row r="24" spans="1:6">
      <c r="A24" s="271" t="s">
        <v>119</v>
      </c>
      <c r="B24" s="272"/>
      <c r="C24" s="272"/>
      <c r="D24" s="273"/>
      <c r="E24" s="138">
        <v>2E-3</v>
      </c>
    </row>
  </sheetData>
  <protectedRanges>
    <protectedRange sqref="C17" name="Range3_3"/>
    <protectedRange sqref="B3:K4 B5:C14 K5:K14" name="Range1"/>
  </protectedRanges>
  <mergeCells count="11">
    <mergeCell ref="A1:K1"/>
    <mergeCell ref="A24:D24"/>
    <mergeCell ref="A17:E17"/>
    <mergeCell ref="A21:D21"/>
    <mergeCell ref="A22:D22"/>
    <mergeCell ref="A23:D23"/>
    <mergeCell ref="B15:C15"/>
    <mergeCell ref="J15:K15"/>
    <mergeCell ref="D15:E15"/>
    <mergeCell ref="F15:G15"/>
    <mergeCell ref="H15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Uncertanity Evaluation</vt:lpstr>
      <vt:lpstr>2nd Page</vt:lpstr>
      <vt:lpstr>3rd page</vt:lpstr>
      <vt:lpstr>Certificate</vt:lpstr>
      <vt:lpstr>Observation</vt:lpstr>
      <vt:lpstr>'2nd Page'!Print_Area</vt:lpstr>
      <vt:lpstr>'3rd page'!Print_Area</vt:lpstr>
      <vt:lpstr>'Uncertanity Evaluation'!Print_Area</vt:lpstr>
      <vt:lpstr>'2nd Page'!Print_Titles</vt:lpstr>
      <vt:lpstr>'3rd page'!Print_Titles</vt:lpstr>
      <vt:lpstr>'Uncertanity Evaluation'!Print_Titles</vt:lpstr>
    </vt:vector>
  </TitlesOfParts>
  <Company>HMC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hmc</dc:creator>
  <cp:lastModifiedBy>user</cp:lastModifiedBy>
  <cp:lastPrinted>2024-10-16T09:02:13Z</cp:lastPrinted>
  <dcterms:created xsi:type="dcterms:W3CDTF">1999-07-15T01:37:00Z</dcterms:created>
  <dcterms:modified xsi:type="dcterms:W3CDTF">2025-06-20T12:28:12Z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1D3F17E2">
    <vt:lpwstr/>
  </property>
  <property fmtid="{D5CDD505-2E9C-101B-9397-08002B2CF9AE}" pid="21" name="IVID13451200">
    <vt:lpwstr/>
  </property>
  <property fmtid="{D5CDD505-2E9C-101B-9397-08002B2CF9AE}" pid="22" name="IVID121617DE">
    <vt:lpwstr/>
  </property>
  <property fmtid="{D5CDD505-2E9C-101B-9397-08002B2CF9AE}" pid="23" name="IVID13691AF2">
    <vt:lpwstr/>
  </property>
  <property fmtid="{D5CDD505-2E9C-101B-9397-08002B2CF9AE}" pid="24" name="IVID1A3B0AF0">
    <vt:lpwstr/>
  </property>
  <property fmtid="{D5CDD505-2E9C-101B-9397-08002B2CF9AE}" pid="25" name="IVID373F12DB">
    <vt:lpwstr/>
  </property>
  <property fmtid="{D5CDD505-2E9C-101B-9397-08002B2CF9AE}" pid="26" name="IVID274B1CF5">
    <vt:lpwstr/>
  </property>
  <property fmtid="{D5CDD505-2E9C-101B-9397-08002B2CF9AE}" pid="27" name="IVID2B4E17FA">
    <vt:lpwstr/>
  </property>
  <property fmtid="{D5CDD505-2E9C-101B-9397-08002B2CF9AE}" pid="28" name="IVID253D11EF">
    <vt:lpwstr/>
  </property>
  <property fmtid="{D5CDD505-2E9C-101B-9397-08002B2CF9AE}" pid="29" name="IVID102124BA">
    <vt:lpwstr/>
  </property>
  <property fmtid="{D5CDD505-2E9C-101B-9397-08002B2CF9AE}" pid="30" name="IVID3D1509D0">
    <vt:lpwstr/>
  </property>
  <property fmtid="{D5CDD505-2E9C-101B-9397-08002B2CF9AE}" pid="31" name="IVID35641901">
    <vt:lpwstr/>
  </property>
  <property fmtid="{D5CDD505-2E9C-101B-9397-08002B2CF9AE}" pid="32" name="IVID45E1ED9">
    <vt:lpwstr/>
  </property>
  <property fmtid="{D5CDD505-2E9C-101B-9397-08002B2CF9AE}" pid="33" name="IVID324113D1">
    <vt:lpwstr/>
  </property>
  <property fmtid="{D5CDD505-2E9C-101B-9397-08002B2CF9AE}" pid="34" name="IVID1A2D1903">
    <vt:lpwstr/>
  </property>
  <property fmtid="{D5CDD505-2E9C-101B-9397-08002B2CF9AE}" pid="35" name="IVID222F6E42">
    <vt:lpwstr/>
  </property>
  <property fmtid="{D5CDD505-2E9C-101B-9397-08002B2CF9AE}" pid="36" name="IVID137012E9">
    <vt:lpwstr/>
  </property>
  <property fmtid="{D5CDD505-2E9C-101B-9397-08002B2CF9AE}" pid="37" name="IVID1A3517F4">
    <vt:lpwstr/>
  </property>
  <property fmtid="{D5CDD505-2E9C-101B-9397-08002B2CF9AE}" pid="38" name="IVID2B0E1302">
    <vt:lpwstr/>
  </property>
  <property fmtid="{D5CDD505-2E9C-101B-9397-08002B2CF9AE}" pid="39" name="IVID332E19D7">
    <vt:lpwstr/>
  </property>
  <property fmtid="{D5CDD505-2E9C-101B-9397-08002B2CF9AE}" pid="40" name="IVID22261800">
    <vt:lpwstr/>
  </property>
  <property fmtid="{D5CDD505-2E9C-101B-9397-08002B2CF9AE}" pid="41" name="IVID325116DE">
    <vt:lpwstr/>
  </property>
  <property fmtid="{D5CDD505-2E9C-101B-9397-08002B2CF9AE}" pid="42" name="IVID272C0FEF">
    <vt:lpwstr/>
  </property>
  <property fmtid="{D5CDD505-2E9C-101B-9397-08002B2CF9AE}" pid="43" name="IVID2C1E12D1">
    <vt:lpwstr/>
  </property>
  <property fmtid="{D5CDD505-2E9C-101B-9397-08002B2CF9AE}" pid="44" name="IVID137812E5">
    <vt:lpwstr/>
  </property>
  <property fmtid="{D5CDD505-2E9C-101B-9397-08002B2CF9AE}" pid="45" name="IVID17063A1C">
    <vt:lpwstr/>
  </property>
  <property fmtid="{D5CDD505-2E9C-101B-9397-08002B2CF9AE}" pid="46" name="IVID12611ADE">
    <vt:lpwstr/>
  </property>
  <property fmtid="{D5CDD505-2E9C-101B-9397-08002B2CF9AE}" pid="47" name="IVID322814F3">
    <vt:lpwstr/>
  </property>
  <property fmtid="{D5CDD505-2E9C-101B-9397-08002B2CF9AE}" pid="48" name="IVID33601201">
    <vt:lpwstr/>
  </property>
  <property fmtid="{D5CDD505-2E9C-101B-9397-08002B2CF9AE}" pid="49" name="IVID3D4D17F3">
    <vt:lpwstr/>
  </property>
  <property fmtid="{D5CDD505-2E9C-101B-9397-08002B2CF9AE}" pid="50" name="IVID2F2214CF">
    <vt:lpwstr/>
  </property>
  <property fmtid="{D5CDD505-2E9C-101B-9397-08002B2CF9AE}" pid="51" name="IVID212812E2">
    <vt:lpwstr/>
  </property>
  <property fmtid="{D5CDD505-2E9C-101B-9397-08002B2CF9AE}" pid="52" name="IVID174513DF">
    <vt:lpwstr/>
  </property>
  <property fmtid="{D5CDD505-2E9C-101B-9397-08002B2CF9AE}" pid="53" name="IVID1D4016E6">
    <vt:lpwstr/>
  </property>
  <property fmtid="{D5CDD505-2E9C-101B-9397-08002B2CF9AE}" pid="54" name="IVID386F14FA">
    <vt:lpwstr/>
  </property>
  <property fmtid="{D5CDD505-2E9C-101B-9397-08002B2CF9AE}" pid="55" name="IVID240A1504">
    <vt:lpwstr/>
  </property>
  <property fmtid="{D5CDD505-2E9C-101B-9397-08002B2CF9AE}" pid="56" name="IVID266F16CF">
    <vt:lpwstr/>
  </property>
  <property fmtid="{D5CDD505-2E9C-101B-9397-08002B2CF9AE}" pid="57" name="IVID190A15F3">
    <vt:lpwstr/>
  </property>
  <property fmtid="{D5CDD505-2E9C-101B-9397-08002B2CF9AE}" pid="58" name="IVID1BDF126E">
    <vt:lpwstr/>
  </property>
  <property fmtid="{D5CDD505-2E9C-101B-9397-08002B2CF9AE}" pid="59" name="IVID3C5710EC">
    <vt:lpwstr/>
  </property>
  <property fmtid="{D5CDD505-2E9C-101B-9397-08002B2CF9AE}" pid="60" name="IVID173E1206">
    <vt:lpwstr/>
  </property>
  <property fmtid="{D5CDD505-2E9C-101B-9397-08002B2CF9AE}" pid="61" name="IVID232310EC">
    <vt:lpwstr/>
  </property>
  <property fmtid="{D5CDD505-2E9C-101B-9397-08002B2CF9AE}" pid="62" name="IVID133D1AE5">
    <vt:lpwstr/>
  </property>
  <property fmtid="{D5CDD505-2E9C-101B-9397-08002B2CF9AE}" pid="63" name="IVIDF6113D9">
    <vt:lpwstr/>
  </property>
  <property fmtid="{D5CDD505-2E9C-101B-9397-08002B2CF9AE}" pid="64" name="IVID307414D1">
    <vt:lpwstr/>
  </property>
  <property fmtid="{D5CDD505-2E9C-101B-9397-08002B2CF9AE}" pid="65" name="IVID344B1400">
    <vt:lpwstr/>
  </property>
  <property fmtid="{D5CDD505-2E9C-101B-9397-08002B2CF9AE}" pid="66" name="IVID135B1DF5">
    <vt:lpwstr/>
  </property>
  <property fmtid="{D5CDD505-2E9C-101B-9397-08002B2CF9AE}" pid="67" name="IVID1A3716D3">
    <vt:lpwstr/>
  </property>
  <property fmtid="{D5CDD505-2E9C-101B-9397-08002B2CF9AE}" pid="68" name="IVIDD1916DB">
    <vt:lpwstr/>
  </property>
  <property fmtid="{D5CDD505-2E9C-101B-9397-08002B2CF9AE}" pid="69" name="IVID11431AF1">
    <vt:lpwstr/>
  </property>
  <property fmtid="{D5CDD505-2E9C-101B-9397-08002B2CF9AE}" pid="70" name="IVID1B2C19F3">
    <vt:lpwstr/>
  </property>
  <property fmtid="{D5CDD505-2E9C-101B-9397-08002B2CF9AE}" pid="71" name="IVIDD5E0FE6">
    <vt:lpwstr/>
  </property>
  <property fmtid="{D5CDD505-2E9C-101B-9397-08002B2CF9AE}" pid="72" name="IVID162D1605">
    <vt:lpwstr/>
  </property>
  <property fmtid="{D5CDD505-2E9C-101B-9397-08002B2CF9AE}" pid="73" name="IVIDA3E11E9">
    <vt:lpwstr/>
  </property>
  <property fmtid="{D5CDD505-2E9C-101B-9397-08002B2CF9AE}" pid="74" name="IVID375215CF">
    <vt:lpwstr/>
  </property>
  <property fmtid="{D5CDD505-2E9C-101B-9397-08002B2CF9AE}" pid="75" name="IVID1D401702">
    <vt:lpwstr/>
  </property>
  <property fmtid="{D5CDD505-2E9C-101B-9397-08002B2CF9AE}" pid="76" name="IVID382E16DB">
    <vt:lpwstr/>
  </property>
  <property fmtid="{D5CDD505-2E9C-101B-9397-08002B2CF9AE}" pid="77" name="IVID30321805">
    <vt:lpwstr/>
  </property>
  <property fmtid="{D5CDD505-2E9C-101B-9397-08002B2CF9AE}" pid="78" name="IVIDF3415DD">
    <vt:lpwstr/>
  </property>
  <property fmtid="{D5CDD505-2E9C-101B-9397-08002B2CF9AE}" pid="79" name="IVID112118DE">
    <vt:lpwstr/>
  </property>
  <property fmtid="{D5CDD505-2E9C-101B-9397-08002B2CF9AE}" pid="80" name="IVID2C0E11E8">
    <vt:lpwstr/>
  </property>
  <property fmtid="{D5CDD505-2E9C-101B-9397-08002B2CF9AE}" pid="81" name="IVID233A10E1">
    <vt:lpwstr/>
  </property>
  <property fmtid="{D5CDD505-2E9C-101B-9397-08002B2CF9AE}" pid="82" name="IVID3E3919D4">
    <vt:lpwstr/>
  </property>
  <property fmtid="{D5CDD505-2E9C-101B-9397-08002B2CF9AE}" pid="83" name="IVID113E1ADD">
    <vt:lpwstr/>
  </property>
  <property fmtid="{D5CDD505-2E9C-101B-9397-08002B2CF9AE}" pid="84" name="IVID113D14F9">
    <vt:lpwstr/>
  </property>
  <property fmtid="{D5CDD505-2E9C-101B-9397-08002B2CF9AE}" pid="85" name="IVID265C1905">
    <vt:lpwstr/>
  </property>
  <property fmtid="{D5CDD505-2E9C-101B-9397-08002B2CF9AE}" pid="86" name="IVID32281CED">
    <vt:lpwstr/>
  </property>
  <property fmtid="{D5CDD505-2E9C-101B-9397-08002B2CF9AE}" pid="87" name="IVID370C1506">
    <vt:lpwstr/>
  </property>
  <property fmtid="{D5CDD505-2E9C-101B-9397-08002B2CF9AE}" pid="88" name="IVID30171A08">
    <vt:lpwstr/>
  </property>
  <property fmtid="{D5CDD505-2E9C-101B-9397-08002B2CF9AE}" pid="89" name="IVID24141AD0">
    <vt:lpwstr/>
  </property>
  <property fmtid="{D5CDD505-2E9C-101B-9397-08002B2CF9AE}" pid="90" name="IVID80A173A">
    <vt:lpwstr/>
  </property>
  <property fmtid="{D5CDD505-2E9C-101B-9397-08002B2CF9AE}" pid="91" name="IVID475611CF">
    <vt:lpwstr/>
  </property>
  <property fmtid="{D5CDD505-2E9C-101B-9397-08002B2CF9AE}" pid="92" name="IVID302D13DA">
    <vt:lpwstr/>
  </property>
  <property fmtid="{D5CDD505-2E9C-101B-9397-08002B2CF9AE}" pid="93" name="IVIDD5915D9">
    <vt:lpwstr/>
  </property>
  <property fmtid="{D5CDD505-2E9C-101B-9397-08002B2CF9AE}" pid="94" name="IVID17F6384A">
    <vt:lpwstr/>
  </property>
  <property fmtid="{D5CDD505-2E9C-101B-9397-08002B2CF9AE}" pid="95" name="IVID3B5A10EA">
    <vt:lpwstr/>
  </property>
  <property fmtid="{D5CDD505-2E9C-101B-9397-08002B2CF9AE}" pid="96" name="IVID3D0F16E3">
    <vt:lpwstr/>
  </property>
  <property fmtid="{D5CDD505-2E9C-101B-9397-08002B2CF9AE}" pid="97" name="IVID30260FFC">
    <vt:lpwstr/>
  </property>
  <property fmtid="{D5CDD505-2E9C-101B-9397-08002B2CF9AE}" pid="98" name="IVID2F301BED">
    <vt:lpwstr/>
  </property>
  <property fmtid="{D5CDD505-2E9C-101B-9397-08002B2CF9AE}" pid="99" name="IVID2F1117F5">
    <vt:lpwstr/>
  </property>
  <property fmtid="{D5CDD505-2E9C-101B-9397-08002B2CF9AE}" pid="100" name="IVID362E14DB">
    <vt:lpwstr/>
  </property>
  <property fmtid="{D5CDD505-2E9C-101B-9397-08002B2CF9AE}" pid="101" name="IVID1F6511DB">
    <vt:lpwstr/>
  </property>
  <property fmtid="{D5CDD505-2E9C-101B-9397-08002B2CF9AE}" pid="102" name="IVID3F1D10E8">
    <vt:lpwstr/>
  </property>
  <property fmtid="{D5CDD505-2E9C-101B-9397-08002B2CF9AE}" pid="103" name="IVID144313EE">
    <vt:lpwstr/>
  </property>
  <property fmtid="{D5CDD505-2E9C-101B-9397-08002B2CF9AE}" pid="104" name="IVID2E511106">
    <vt:lpwstr/>
  </property>
  <property fmtid="{D5CDD505-2E9C-101B-9397-08002B2CF9AE}" pid="105" name="IVID2A6D14EB">
    <vt:lpwstr/>
  </property>
  <property fmtid="{D5CDD505-2E9C-101B-9397-08002B2CF9AE}" pid="106" name="IVIDA1B07F3">
    <vt:lpwstr/>
  </property>
  <property fmtid="{D5CDD505-2E9C-101B-9397-08002B2CF9AE}" pid="107" name="IVID2A6715D8">
    <vt:lpwstr/>
  </property>
  <property fmtid="{D5CDD505-2E9C-101B-9397-08002B2CF9AE}" pid="108" name="IVID222D19FF">
    <vt:lpwstr/>
  </property>
  <property fmtid="{D5CDD505-2E9C-101B-9397-08002B2CF9AE}" pid="109" name="IVID19F42C31">
    <vt:lpwstr/>
  </property>
  <property fmtid="{D5CDD505-2E9C-101B-9397-08002B2CF9AE}" pid="110" name="IVID14481408">
    <vt:lpwstr/>
  </property>
  <property fmtid="{D5CDD505-2E9C-101B-9397-08002B2CF9AE}" pid="111" name="IVID2E670A05">
    <vt:lpwstr/>
  </property>
  <property fmtid="{D5CDD505-2E9C-101B-9397-08002B2CF9AE}" pid="112" name="IVID2A161305">
    <vt:lpwstr/>
  </property>
  <property fmtid="{D5CDD505-2E9C-101B-9397-08002B2CF9AE}" pid="113" name="IVID2D4D15EB">
    <vt:lpwstr/>
  </property>
  <property fmtid="{D5CDD505-2E9C-101B-9397-08002B2CF9AE}" pid="114" name="IVID432613D2">
    <vt:lpwstr/>
  </property>
  <property fmtid="{D5CDD505-2E9C-101B-9397-08002B2CF9AE}" pid="115" name="IVID39601803">
    <vt:lpwstr/>
  </property>
  <property fmtid="{D5CDD505-2E9C-101B-9397-08002B2CF9AE}" pid="116" name="IVID394F11F2">
    <vt:lpwstr/>
  </property>
  <property fmtid="{D5CDD505-2E9C-101B-9397-08002B2CF9AE}" pid="117" name="IVID22690F09">
    <vt:lpwstr/>
  </property>
  <property fmtid="{D5CDD505-2E9C-101B-9397-08002B2CF9AE}" pid="118" name="IVID2A4E11EA">
    <vt:lpwstr/>
  </property>
  <property fmtid="{D5CDD505-2E9C-101B-9397-08002B2CF9AE}" pid="119" name="IVID1C5711E4">
    <vt:lpwstr/>
  </property>
  <property fmtid="{D5CDD505-2E9C-101B-9397-08002B2CF9AE}" pid="120" name="IVID272C1306">
    <vt:lpwstr/>
  </property>
  <property fmtid="{D5CDD505-2E9C-101B-9397-08002B2CF9AE}" pid="121" name="IVIDA2610F0">
    <vt:lpwstr/>
  </property>
  <property fmtid="{D5CDD505-2E9C-101B-9397-08002B2CF9AE}" pid="122" name="IVID215B0FE5">
    <vt:lpwstr/>
  </property>
  <property fmtid="{D5CDD505-2E9C-101B-9397-08002B2CF9AE}" pid="123" name="IVID293B1304">
    <vt:lpwstr/>
  </property>
  <property fmtid="{D5CDD505-2E9C-101B-9397-08002B2CF9AE}" pid="124" name="IVID275115E5">
    <vt:lpwstr/>
  </property>
  <property fmtid="{D5CDD505-2E9C-101B-9397-08002B2CF9AE}" pid="125" name="IVID9320FE4">
    <vt:lpwstr/>
  </property>
  <property fmtid="{D5CDD505-2E9C-101B-9397-08002B2CF9AE}" pid="126" name="IVID3E6D1007">
    <vt:lpwstr/>
  </property>
  <property fmtid="{D5CDD505-2E9C-101B-9397-08002B2CF9AE}" pid="127" name="IVID184B07DF">
    <vt:lpwstr/>
  </property>
  <property fmtid="{D5CDD505-2E9C-101B-9397-08002B2CF9AE}" pid="128" name="IVID80610D0">
    <vt:lpwstr/>
  </property>
  <property fmtid="{D5CDD505-2E9C-101B-9397-08002B2CF9AE}" pid="129" name="IVIDE6C1501">
    <vt:lpwstr/>
  </property>
  <property fmtid="{D5CDD505-2E9C-101B-9397-08002B2CF9AE}" pid="130" name="IVID12150FDE">
    <vt:lpwstr/>
  </property>
  <property fmtid="{D5CDD505-2E9C-101B-9397-08002B2CF9AE}" pid="131" name="IVID263A17F4">
    <vt:lpwstr/>
  </property>
  <property fmtid="{D5CDD505-2E9C-101B-9397-08002B2CF9AE}" pid="132" name="IVID21301CFB">
    <vt:lpwstr/>
  </property>
  <property fmtid="{D5CDD505-2E9C-101B-9397-08002B2CF9AE}" pid="133" name="IVID3E3A18EF">
    <vt:lpwstr/>
  </property>
  <property fmtid="{D5CDD505-2E9C-101B-9397-08002B2CF9AE}" pid="134" name="IVID28741007">
    <vt:lpwstr/>
  </property>
  <property fmtid="{D5CDD505-2E9C-101B-9397-08002B2CF9AE}" pid="135" name="IVID417511F3">
    <vt:lpwstr/>
  </property>
  <property fmtid="{D5CDD505-2E9C-101B-9397-08002B2CF9AE}" pid="136" name="IVID203A1108">
    <vt:lpwstr/>
  </property>
  <property fmtid="{D5CDD505-2E9C-101B-9397-08002B2CF9AE}" pid="137" name="IVID395215F3">
    <vt:lpwstr/>
  </property>
  <property fmtid="{D5CDD505-2E9C-101B-9397-08002B2CF9AE}" pid="138" name="IVID81113D2">
    <vt:lpwstr/>
  </property>
  <property fmtid="{D5CDD505-2E9C-101B-9397-08002B2CF9AE}" pid="139" name="IVID1D231201">
    <vt:lpwstr/>
  </property>
  <property fmtid="{D5CDD505-2E9C-101B-9397-08002B2CF9AE}" pid="140" name="IVID366A14F0">
    <vt:lpwstr/>
  </property>
  <property fmtid="{D5CDD505-2E9C-101B-9397-08002B2CF9AE}" pid="141" name="IVID316311F9">
    <vt:lpwstr/>
  </property>
  <property fmtid="{D5CDD505-2E9C-101B-9397-08002B2CF9AE}" pid="142" name="IVIDE0715F1">
    <vt:lpwstr/>
  </property>
  <property fmtid="{D5CDD505-2E9C-101B-9397-08002B2CF9AE}" pid="143" name="IVID3B5816EC">
    <vt:lpwstr/>
  </property>
  <property fmtid="{D5CDD505-2E9C-101B-9397-08002B2CF9AE}" pid="144" name="IVID351414F8">
    <vt:lpwstr/>
  </property>
  <property fmtid="{D5CDD505-2E9C-101B-9397-08002B2CF9AE}" pid="145" name="IVID2F251AE7">
    <vt:lpwstr/>
  </property>
  <property fmtid="{D5CDD505-2E9C-101B-9397-08002B2CF9AE}" pid="146" name="IVID2A5E1D03">
    <vt:lpwstr/>
  </property>
  <property fmtid="{D5CDD505-2E9C-101B-9397-08002B2CF9AE}" pid="147" name="IVID306310DF">
    <vt:lpwstr/>
  </property>
  <property fmtid="{D5CDD505-2E9C-101B-9397-08002B2CF9AE}" pid="148" name="IVID62415D6">
    <vt:lpwstr/>
  </property>
  <property fmtid="{D5CDD505-2E9C-101B-9397-08002B2CF9AE}" pid="149" name="IVID27641707">
    <vt:lpwstr/>
  </property>
  <property fmtid="{D5CDD505-2E9C-101B-9397-08002B2CF9AE}" pid="150" name="IVID193412D2">
    <vt:lpwstr/>
  </property>
  <property fmtid="{D5CDD505-2E9C-101B-9397-08002B2CF9AE}" pid="151" name="IVID304312E4">
    <vt:lpwstr/>
  </property>
  <property fmtid="{D5CDD505-2E9C-101B-9397-08002B2CF9AE}" pid="152" name="IVID1F4C07D1">
    <vt:lpwstr/>
  </property>
  <property fmtid="{D5CDD505-2E9C-101B-9397-08002B2CF9AE}" pid="153" name="IVIDA2712E7">
    <vt:lpwstr/>
  </property>
  <property fmtid="{D5CDD505-2E9C-101B-9397-08002B2CF9AE}" pid="154" name="IVID332613CE">
    <vt:lpwstr/>
  </property>
  <property fmtid="{D5CDD505-2E9C-101B-9397-08002B2CF9AE}" pid="155" name="IVID19681106">
    <vt:lpwstr/>
  </property>
  <property fmtid="{D5CDD505-2E9C-101B-9397-08002B2CF9AE}" pid="156" name="IVID462E10F8">
    <vt:lpwstr/>
  </property>
  <property fmtid="{D5CDD505-2E9C-101B-9397-08002B2CF9AE}" pid="157" name="IVID243A10DE">
    <vt:lpwstr/>
  </property>
  <property fmtid="{D5CDD505-2E9C-101B-9397-08002B2CF9AE}" pid="158" name="IVID263260CF">
    <vt:lpwstr/>
  </property>
  <property fmtid="{D5CDD505-2E9C-101B-9397-08002B2CF9AE}" pid="159" name="IVID2A3614FA">
    <vt:lpwstr/>
  </property>
  <property fmtid="{D5CDD505-2E9C-101B-9397-08002B2CF9AE}" pid="160" name="IVID18E22C59">
    <vt:lpwstr/>
  </property>
  <property fmtid="{D5CDD505-2E9C-101B-9397-08002B2CF9AE}" pid="161" name="IVID200C15D6">
    <vt:lpwstr/>
  </property>
  <property fmtid="{D5CDD505-2E9C-101B-9397-08002B2CF9AE}" pid="162" name="IVID2E6510D6">
    <vt:lpwstr/>
  </property>
  <property fmtid="{D5CDD505-2E9C-101B-9397-08002B2CF9AE}" pid="163" name="IVID185612EE">
    <vt:lpwstr/>
  </property>
</Properties>
</file>